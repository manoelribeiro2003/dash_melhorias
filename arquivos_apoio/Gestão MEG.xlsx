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l0559\Documents\Projetos\node\dash_melhorias\dash_melhorias\"/>
    </mc:Choice>
  </mc:AlternateContent>
  <xr:revisionPtr revIDLastSave="0" documentId="13_ncr:1_{B74A8211-5F11-41B5-A3FB-D88101F47C25}" xr6:coauthVersionLast="47" xr6:coauthVersionMax="47" xr10:uidLastSave="{00000000-0000-0000-0000-000000000000}"/>
  <bookViews>
    <workbookView xWindow="28680" yWindow="-120" windowWidth="29040" windowHeight="15720" firstSheet="1" activeTab="1" xr2:uid="{00000000-000D-0000-FFFF-FFFF00000000}"/>
  </bookViews>
  <sheets>
    <sheet name="Plano" sheetId="1" state="hidden" r:id="rId1"/>
    <sheet name="Dados Consolidados" sheetId="2" r:id="rId2"/>
    <sheet name="Tarefas" sheetId="3" r:id="rId3"/>
    <sheet name="Metas" sheetId="4" state="hidden" r:id="rId4"/>
    <sheet name="Buckets" sheetId="5" r:id="rId5"/>
    <sheet name="Usuários" sheetId="6" r:id="rId6"/>
    <sheet name="Planilha1" sheetId="7" r:id="rId7"/>
  </sheets>
  <definedNames>
    <definedName name="_xlnm._FilterDatabase" localSheetId="1" hidden="1">'Dados Consolidados'!$A$1:$S$124</definedName>
    <definedName name="_xlnm._FilterDatabase" localSheetId="2" hidden="1">Tarefas!$A$1:$T$124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4" i="2" l="1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</calcChain>
</file>

<file path=xl/sharedStrings.xml><?xml version="1.0" encoding="utf-8"?>
<sst xmlns="http://schemas.openxmlformats.org/spreadsheetml/2006/main" count="4500" uniqueCount="531">
  <si>
    <t>ID do plano</t>
  </si>
  <si>
    <t>Nome do plano</t>
  </si>
  <si>
    <t xml:space="preserve">Data da exportação </t>
  </si>
  <si>
    <t>fHewUC8uj0ioRbpAX8PFEmQADhut</t>
  </si>
  <si>
    <t>Gestão MEG</t>
  </si>
  <si>
    <t>2026-08-15</t>
  </si>
  <si>
    <t>Identificação da tarefa</t>
  </si>
  <si>
    <t>Nome da tarefa</t>
  </si>
  <si>
    <t>Categoria</t>
  </si>
  <si>
    <t>Meta</t>
  </si>
  <si>
    <t>Status</t>
  </si>
  <si>
    <t>Prioridade</t>
  </si>
  <si>
    <t>Atribuído a</t>
  </si>
  <si>
    <t>Criado por</t>
  </si>
  <si>
    <t>Criado em</t>
  </si>
  <si>
    <t>Data de conclusão</t>
  </si>
  <si>
    <t>Data de início</t>
  </si>
  <si>
    <t>É Recorrente</t>
  </si>
  <si>
    <t>Atrasados</t>
  </si>
  <si>
    <t>Concluído em</t>
  </si>
  <si>
    <t>Concluída por</t>
  </si>
  <si>
    <t>Itens concluídos da lista de verificação</t>
  </si>
  <si>
    <t>Itens da lista de verificação</t>
  </si>
  <si>
    <t>Rótulos</t>
  </si>
  <si>
    <t>Notas</t>
  </si>
  <si>
    <t>mHYaQDYxrUiQ7uHDBJV_CGQAA0Bm</t>
  </si>
  <si>
    <t>Lançar melhoria do bimestre</t>
  </si>
  <si>
    <t>Melhorias do Bimestre</t>
  </si>
  <si>
    <t/>
  </si>
  <si>
    <t>Não iniciado</t>
  </si>
  <si>
    <t>Média</t>
  </si>
  <si>
    <t>Francisco Romulo de Aguiar;;William Kennedy Rodrigues Lopes;Francisco Martins da Silva;Charliane Batista de Alencar</t>
  </si>
  <si>
    <t>Francisco Romulo de Aguiar</t>
  </si>
  <si>
    <t>2026-08-06</t>
  </si>
  <si>
    <t>2026-10-05</t>
  </si>
  <si>
    <t>false</t>
  </si>
  <si>
    <t>0/10</t>
  </si>
  <si>
    <t>Rômulo ;Charliane;Thiago Roberto;Martins;Leonardo Galdino;Kennedy;Leonardo Costa;Eduarda;Daniel Viana;Alan Vilela</t>
  </si>
  <si>
    <t>epEHIZFoYEawEMf2UmdnO2QAEl9u</t>
  </si>
  <si>
    <t>Concluída</t>
  </si>
  <si>
    <t>Fernanda Sousa Araujo</t>
  </si>
  <si>
    <t>2026-07-17</t>
  </si>
  <si>
    <t>2026-08-05</t>
  </si>
  <si>
    <t>7/10</t>
  </si>
  <si>
    <t>7SBLlTg6NUODyqgmnqwBnmQAPYN6</t>
  </si>
  <si>
    <t>Francisco Romulo de Aguiar;;;William Kennedy Rodrigues Lopes;Francisco Martins da Silva;Charliane Batista de Alencar</t>
  </si>
  <si>
    <t>2026-04-05</t>
  </si>
  <si>
    <t>0/6</t>
  </si>
  <si>
    <t>Rômulo ;Charliane;Martins;Kennedy;Douglas;Jennifer</t>
  </si>
  <si>
    <t>DRYwgOUmRUOgKzjzalMjq2QAAtiM</t>
  </si>
  <si>
    <t>2026-02-05</t>
  </si>
  <si>
    <t>F1LFUkS0RUu3Ibi25ZzRWWQAJj2X</t>
  </si>
  <si>
    <t>2025-12-05</t>
  </si>
  <si>
    <t>uQH-ZMJsr0CX1CPaui9Al2QAA1wN</t>
  </si>
  <si>
    <t>2025-10-05</t>
  </si>
  <si>
    <t>txeRybaODEq_PH978neS1mQAGaS0</t>
  </si>
  <si>
    <t>2025-08-08</t>
  </si>
  <si>
    <t>tygljY6P00iU4kfls2vKV2QAG4Zo</t>
  </si>
  <si>
    <t>2024-12-05</t>
  </si>
  <si>
    <t>22BLBarPRUGDpRVdEMXK-WQAIPMG</t>
  </si>
  <si>
    <t>2024-07-05</t>
  </si>
  <si>
    <t>2024-10-31</t>
  </si>
  <si>
    <t>XyQwFCHhokWxK8Qtp4qmkmQADVuN</t>
  </si>
  <si>
    <t xml:space="preserve">Fazer auditoria nos postos de trabalho dos lançamentos </t>
  </si>
  <si>
    <t>2024-07-25</t>
  </si>
  <si>
    <t>2024-08-30</t>
  </si>
  <si>
    <t>2024-09-05</t>
  </si>
  <si>
    <t>4/4</t>
  </si>
  <si>
    <t xml:space="preserve">Gerar laudo dos postos de trabalho e enviar para os envolvidos ;Registrar condições dos postos com fotos ;Analisar postos nos pilares de P5.0 e Ergonomia ;Passar nas linhas produtivas dos lançamentos </t>
  </si>
  <si>
    <t>Rotina</t>
  </si>
  <si>
    <t>Hl4x_KZhpkyOUlv5RxATVGQAM31J</t>
  </si>
  <si>
    <t>Criar as documentações do TEGAD dentro matrix</t>
  </si>
  <si>
    <t>2024-08-02</t>
  </si>
  <si>
    <t>2024-08-10</t>
  </si>
  <si>
    <t>UjbIJMabvEC4WDGe9hiHvWQAK3Mj</t>
  </si>
  <si>
    <t>Criar as documentações dos montadores de layout dentro do matrix</t>
  </si>
  <si>
    <t>2024-09-13</t>
  </si>
  <si>
    <t>OxRSVcPgZEuV9LODx_vat2QAPkqZ</t>
  </si>
  <si>
    <t>Work sampling no processo de chamada ativa do PS7</t>
  </si>
  <si>
    <t>;</t>
  </si>
  <si>
    <t>2024-08-23</t>
  </si>
  <si>
    <t>2024-08-20</t>
  </si>
  <si>
    <t xml:space="preserve">Gerar um gráfico com os dados de percurso com maior repetição ;Registrar os percursos realizados de movimentação dos operadores ;Acompanhar o processo ;Anotar as ocorrências ou divergências do processo </t>
  </si>
  <si>
    <t>kTIeuZuHKk6LutwStQOPmWQAKOcl</t>
  </si>
  <si>
    <t>Cadastro de pessoas treinadas aplicativo.</t>
  </si>
  <si>
    <t>Cadastrar listas de pessoas treinadas no aplicativo.</t>
  </si>
  <si>
    <t>HgnLevcgA0qC8e0NaziGdmQAAQrK</t>
  </si>
  <si>
    <t>Atualização planilhas SMED e criação de boletim.</t>
  </si>
  <si>
    <t>;William Kennedy Rodrigues Lopes</t>
  </si>
  <si>
    <t>2024-08-12</t>
  </si>
  <si>
    <t>xZIuz0fqHEKGRIVvx_CjpGQAApIE</t>
  </si>
  <si>
    <t xml:space="preserve">Desenho </t>
  </si>
  <si>
    <t>2024-08-13</t>
  </si>
  <si>
    <t>2024-08-16</t>
  </si>
  <si>
    <t>3/3</t>
  </si>
  <si>
    <t xml:space="preserve">Desenho da Mesa Posto de trabalho F3;Desenho do Layout F3-F4;Desenho do Layout Peças Técnicas </t>
  </si>
  <si>
    <t>lDsMV28xPka_W5yxSGhSB2QAJ3v7</t>
  </si>
  <si>
    <t>Atualização planilha dos indicadores</t>
  </si>
  <si>
    <t>2024-08-21</t>
  </si>
  <si>
    <t>2024-08-22</t>
  </si>
  <si>
    <t>8ZiKOBm8V0W1aszegn2HImQAO_b_</t>
  </si>
  <si>
    <t>Atualizar checklist kaizen, ver com RH cadastro de pessoas treinadas em Kaizen.</t>
  </si>
  <si>
    <t>H1uUhGXRGU-77B3fs6q8LmQANBpP</t>
  </si>
  <si>
    <t xml:space="preserve">Organização materiais MEG </t>
  </si>
  <si>
    <t>2024-09-12</t>
  </si>
  <si>
    <t>1jM1QpSMA02fNwk_HDPi_mQAKDS8</t>
  </si>
  <si>
    <t>Estudo Sala Impressão Digital</t>
  </si>
  <si>
    <t>2024-09-18</t>
  </si>
  <si>
    <t>cQO-fezfA0eUz3P6IidJkGQABDk8</t>
  </si>
  <si>
    <t xml:space="preserve">Organizar evento de melhorias </t>
  </si>
  <si>
    <t>2024-09-27</t>
  </si>
  <si>
    <t>2024-09-24</t>
  </si>
  <si>
    <t>5/5</t>
  </si>
  <si>
    <t xml:space="preserve">Organizar o espaço de eventos ;Montar apresentação do evento ;Listar os dados dos premiados (Calçados e informações gerais);Levantar dados das avaliações de percepção. ;Treinar a apresentação </t>
  </si>
  <si>
    <t>SZ2NF2FBAE-UeRtXURXbLmQANNYa</t>
  </si>
  <si>
    <t>Passada Horizontal no TS6</t>
  </si>
  <si>
    <t>DjnKbRcTlEar2AF5aYS1g2QAJm8W</t>
  </si>
  <si>
    <t>Passada Horizontal TS7</t>
  </si>
  <si>
    <t>2024-09-25</t>
  </si>
  <si>
    <t>LQZZqn7VwUm8GsQfpC4GhGQADMSP</t>
  </si>
  <si>
    <t>MOI - Movimentadores de Caixas Montagem</t>
  </si>
  <si>
    <t>MOI, MOA, MODS</t>
  </si>
  <si>
    <t>Redução de 50 efetivos MOA, MOI e MODS</t>
  </si>
  <si>
    <t>Em andamento</t>
  </si>
  <si>
    <t>Importante</t>
  </si>
  <si>
    <t>Charliane Batista de Alencar</t>
  </si>
  <si>
    <t>2026-07-24</t>
  </si>
  <si>
    <t>2026-07-06</t>
  </si>
  <si>
    <t>true</t>
  </si>
  <si>
    <t>6/8</t>
  </si>
  <si>
    <t>Validar com a gestão;Determinar padrões da operações;Testar nova proposta;Verificar possíveis propostas de melhorias  ou automações;Avaliar durante uma semana dimensionamento pro fator X Padrão / aglutinado;Lançar FAP;Criar nova proposta de dimensionamento;Levantar situação atual</t>
  </si>
  <si>
    <t>Crato</t>
  </si>
  <si>
    <t>NkewH3A-5Eail--FODKxU2QAH1YF</t>
  </si>
  <si>
    <t>Otimização Setup Matriz EVA</t>
  </si>
  <si>
    <t>SMED</t>
  </si>
  <si>
    <t>Redução de 25% do tempo de setup de matriz e 15% setup de cor na injeção de EVA</t>
  </si>
  <si>
    <t>Francisco Romulo de Aguiar;Aliny Kelly De Assis Rufino</t>
  </si>
  <si>
    <t>2026-08-31</t>
  </si>
  <si>
    <t>2026-07-20</t>
  </si>
  <si>
    <t>5/9</t>
  </si>
  <si>
    <t>Acompanhar definição do carrinho compra ou confecção junto a fábrica;Análise de ganho para transformação das matrizes em troca rápida (Vagner).;Análise de setups Matriz. (20 à 24/07);Acompanhamento de implantação do Simon.;Teste de carrinho com capacidade para matrizes de entrada e saída.;Fazer analise do custo da estufa ligada o dia todo (Setups por maquina e por dia);Teste de pré aquecimento de matriz em setups reais.;Análise do fluxo de programação do EVA.;Montar material para reunião com Igor (sobre a estufa e moer purga)</t>
  </si>
  <si>
    <t>sNUu7Jc6NkyzqxvlG4HlcGQANkch</t>
  </si>
  <si>
    <t>Cerimônia de Premiação do Programa de Melhorias</t>
  </si>
  <si>
    <t>Programa de Melhorias</t>
  </si>
  <si>
    <t>Leonardo Costa da Silva</t>
  </si>
  <si>
    <t>2026-12-31</t>
  </si>
  <si>
    <t>1/4</t>
  </si>
  <si>
    <t>Cerimônia de Premiação - Bimestre Set/Out 2026;Cerimônia de Premiação - Bimestre Jul/Ago 2026;Cerimônia de Premiação - Bimestre Mai/Jun 2026;Cerimônia de Premiação - Bimestre Nov/Dez 2026</t>
  </si>
  <si>
    <t>Rs5Oc-Bkx02tuG9Y-sk0lGQAMxXl</t>
  </si>
  <si>
    <t>MOI - Auxiliar de Matrizaria</t>
  </si>
  <si>
    <t>2026-07-22</t>
  </si>
  <si>
    <t>9/10</t>
  </si>
  <si>
    <t>Validar com a gestão;Tabulação de dados e classificação das atividades;Acompanhar turno B;Apresentar a gerência e coordenação;Verificar possíveis propostas de melhorias, transferências ou otimização de atividades;Colocar em teste para avaliar;Proposta de novo dimensionamento;Verificar com Kleilson a decisão de alterar dimensionamento, conforme avaliação no físico;Lançar FAP;Acompanhamento turno A (07/07 e 09/07)</t>
  </si>
  <si>
    <t>t8_qJepIiUqnTdiC4yZkT2QAI7ze</t>
  </si>
  <si>
    <t>MOI - Matrizeiro</t>
  </si>
  <si>
    <t>0/8</t>
  </si>
  <si>
    <t>Tabulação de dados e classificação das atividades;Proposta de novo dimensionamento;Colocar em teste para avaliar;Validar com a gestão;Acompanhamento turno A;Acompanhar turno B;Lançar FAP;Verificar possíveis propostas de melhorias, transferências ou otimização de atividades</t>
  </si>
  <si>
    <t>XD1eWNDN_ECyHQuAr9pQImQAJevi</t>
  </si>
  <si>
    <t>SMED Setup de Cor EVA</t>
  </si>
  <si>
    <t>2026-10-31</t>
  </si>
  <si>
    <t>5/7</t>
  </si>
  <si>
    <t>Análise da troca de cor sem a utilização do material de limpeza.;Análise ECRS - Troca de cor simples e complexa;Análise de tempo perdido com expurgo, recorte e recolhimento da purga.;Proposta de alterações para redução de material expurgado (Reduzir material dentro do injetor).;Realizar teste no mini moinho com a purga do EVA para ver o comportamento do material.;Criar mapa de raciocínio da troca de cor;Levantamento de ganhos.</t>
  </si>
  <si>
    <t>DoKMHOwn7UCOR_vLrOHv3mQAHbad</t>
  </si>
  <si>
    <t>MOI - Tegad / Célula de Layout</t>
  </si>
  <si>
    <t>William Kennedy Rodrigues Lopes;Charliane Batista de Alencar</t>
  </si>
  <si>
    <t>2026-07-13</t>
  </si>
  <si>
    <t>4/7</t>
  </si>
  <si>
    <t>Levantamento da situação atual;Apresentar e validar com a gestão;Mapear todas as atividades realizadas na área e funções;Lançar FAP;Testar nova proposta de dimensionamento;Verificar possíveis melhorias ou automações de processos;Nova proposta de dimensionamento</t>
  </si>
  <si>
    <t>Link Apresentação:
https://canva.link/h3vnpu6cgzovy20</t>
  </si>
  <si>
    <t>HXKuxw-cBUepbRalBZSt1mQAKYct</t>
  </si>
  <si>
    <t>Credenciamento - Programa de Melhorias</t>
  </si>
  <si>
    <t>Atingir 85% de aderência no Programa de Melhorias</t>
  </si>
  <si>
    <t>2/2</t>
  </si>
  <si>
    <t>Reunião para montagem do Plano de Credenciamento do Programa de Melhorias;Estruturar o conteúdo de Treinamento para o Público de Preparadores ate Supervisão</t>
  </si>
  <si>
    <t>Foi criado o Manual com o objetivo de conduzir o conteudo para TReinamento para o Publico, abordando sobre o programa de Melhorias, o seu funcionamento, bem como, o planejamento da cerimônia de premiação.</t>
  </si>
  <si>
    <t>V0yIkFtIWEOskxThXpxkY2QAM3ON</t>
  </si>
  <si>
    <t>Padronização das Embalagens</t>
  </si>
  <si>
    <t>Padronizações/Certificações</t>
  </si>
  <si>
    <t>0/4</t>
  </si>
  <si>
    <t>Mobiliários - Crato;Mobiliarios - Fortaleza;Criação do material de apresentação da Hora da Excelência - Padronização das Embalagens;Mobiliários - Sobral</t>
  </si>
  <si>
    <t>CX98n3yEK0mDhVfC_Fi1J2QAHMG-</t>
  </si>
  <si>
    <t>Padronização das Salas de Tintas</t>
  </si>
  <si>
    <t>hiwXVtGDc0-i01bBHDNL72QANeXx</t>
  </si>
  <si>
    <t>Padronização do Tingimento</t>
  </si>
  <si>
    <t>ZdZflJXSmkK-wVFOke3F5GQAP5-z</t>
  </si>
  <si>
    <t>[Semana 27-31/07] Automação de atividades de Organização do Programa de Melhorias</t>
  </si>
  <si>
    <t>Thiago Roberto Andrade Aguiar</t>
  </si>
  <si>
    <t>2026-07-31</t>
  </si>
  <si>
    <t>1/5</t>
  </si>
  <si>
    <t>Automatizar montagem da apresentação do Programa de Melhorias;Analise dos arquivos e dos fluxos para viabilizar automação;Automatizar montagem dos Certificados;Automatizar Convite dos Premiados e Convite Oficial para Gerencias do Programa de Melhorias;Criação dos arquivos do material de planejamento em pasta para automação</t>
  </si>
  <si>
    <t>Yvny0_yZ00u0pFkafmUt9mQAFqat</t>
  </si>
  <si>
    <t>Criar operação de aplicar rolinho curvado logo pequeno</t>
  </si>
  <si>
    <t>MTM/Impressão 3D</t>
  </si>
  <si>
    <t>Leonardo Galdino de Oliveira</t>
  </si>
  <si>
    <t>2026-07-30</t>
  </si>
  <si>
    <t>zuLDstg9b0efs3su_Ph4fGQAIxsY</t>
  </si>
  <si>
    <t>Montar apresentação para treinamento novo dosador</t>
  </si>
  <si>
    <t>VielfIXtXEiR6oY1QY6E5GQABVwj</t>
  </si>
  <si>
    <t>[Semana 20-24/07] Criação dos Famílias - Serigrafia Fábrica 05</t>
  </si>
  <si>
    <t>RPA</t>
  </si>
  <si>
    <t>Urgente</t>
  </si>
  <si>
    <t>Nalbert de Matos Vieira</t>
  </si>
  <si>
    <t>2026-07-01</t>
  </si>
  <si>
    <t>2026-07-23</t>
  </si>
  <si>
    <t>Levantar dados de processo de Serigrafia da Fábrica 05;Criar bases de famílias e gráficos para visualização da distribuição das Famílias;Analisar os padrões p/lacas/hr dos modelos para criar os ranges das Famílias;Levantar dados de PQP;Analisar os padrões pares/hr dos modelos para criar os ranges das Famílias</t>
  </si>
  <si>
    <t>qDcgfgf80kykqSwwa8PPaWQAFFo8</t>
  </si>
  <si>
    <t>Projeto TR Cabine de Pintura Manual</t>
  </si>
  <si>
    <t>2026-07-18</t>
  </si>
  <si>
    <t>0/3</t>
  </si>
  <si>
    <t>Confecção de bombas TS7 (nec. 32/ feito 18);Replicação para TS6 (nec. 26);Replicação para TS1 (nec. 12)</t>
  </si>
  <si>
    <t>PsqUFHQh2EmWCDzylxrMEWQAMyNp</t>
  </si>
  <si>
    <t>Enviar boletim de Aderência de Melhorias - Quinzenal para Gerentes e Coordenadores</t>
  </si>
  <si>
    <t>2026-08-01</t>
  </si>
  <si>
    <t>Adicionar informações relacionadas ao Programa de Melhorias - Aderencia de Melhorias, Aderencia das Ideias do QRCode, Visão geral das gerencias e o impacto financeiro.</t>
  </si>
  <si>
    <t>hz469tm0u0-84IeJuXfluGQAIrdx</t>
  </si>
  <si>
    <t>Enviar boletim semanal relacionado a Gestão de Melhorias da área do Tiago - Engenharia</t>
  </si>
  <si>
    <t>2026-08-14</t>
  </si>
  <si>
    <t>2026-08-18</t>
  </si>
  <si>
    <t>2026-08-13</t>
  </si>
  <si>
    <t>08E3NE5cTEq1sd_TzjrEVWQALWnl</t>
  </si>
  <si>
    <t>2026-08-11</t>
  </si>
  <si>
    <t>vyEptvuaskOXeZr0cHELf2QAETqG</t>
  </si>
  <si>
    <t>ezE1p0UcT0yNxkv7BuF1a2QAKUsr</t>
  </si>
  <si>
    <t>2026-07-21</t>
  </si>
  <si>
    <t>tS3ynbJ2PUmw2ahAWkxC3WQAGf5h</t>
  </si>
  <si>
    <t>Criar operação de montar enfeite com novo equipamento</t>
  </si>
  <si>
    <t>CuZgcze8_UKVNKhnXWgm1WQAN6E8</t>
  </si>
  <si>
    <t>Acompanhar entrega dos móveis embalagem</t>
  </si>
  <si>
    <t>IcdR8JEto02P-PM5dTzhGmQALFKt</t>
  </si>
  <si>
    <t>Acompanhar entrega das bombas duplas</t>
  </si>
  <si>
    <t>2026-08-28</t>
  </si>
  <si>
    <t>0/5</t>
  </si>
  <si>
    <t>F1 - Total - 12, entregue - 7;F7 - Total - 38, entregue - 21;Previsão de entrega 28/08/2026;F6 - Total - 26, entregue - 6;33 bombas entregues Atualização - 14/08/2026</t>
  </si>
  <si>
    <t>0vsw8n4Q7Ei7dKijGz-ZuGQAJRQY</t>
  </si>
  <si>
    <t>Projeto 02 - Dimensionamento dos Trocadores de Layout Fáb. 06</t>
  </si>
  <si>
    <t>William Kennedy Rodrigues Lopes</t>
  </si>
  <si>
    <t>3/4</t>
  </si>
  <si>
    <t>Acompanhar físico x tabela de cálculo.;Criar tabela de dimensionamento da F06;Validar processo de dimensionamento hora a hora.;Testar processo de automação das informações</t>
  </si>
  <si>
    <t>3kqVaLHdgUuM5WHpeu2VF2QAPOok</t>
  </si>
  <si>
    <t>Fazer análise de ganhos dos modelos com elevador</t>
  </si>
  <si>
    <t>EdGjdxfvPke8i4ykf3f3Y2QAEcAO</t>
  </si>
  <si>
    <t>Atualização dos ganhos dos robôs de pintura</t>
  </si>
  <si>
    <t>Yo4Dt-bPr06xy8GLKPU6mWQAC7So</t>
  </si>
  <si>
    <t>Projeto 02 - Dimensionamento dos Trocadores de Layout Fáb. 07</t>
  </si>
  <si>
    <t>Testar processo de automação das informações;Criar tabela de dimensionamento;Acompanhar físico x tabela de cálculo.;Validar processo de dimensionamento hora a hora.</t>
  </si>
  <si>
    <t>-xACx8adIU6pxoiKRb2o52QAAkJJ</t>
  </si>
  <si>
    <t>Projeto 02 - Dimensionamento dos Trocadores de Layout Crato</t>
  </si>
  <si>
    <t>S92B9tmFzkGOmEApomfXDmQAGULD</t>
  </si>
  <si>
    <t>Projeto 02 - Dimensionamento dos Trocadores de Layout Fáb. 01</t>
  </si>
  <si>
    <t>Testar processo de automação das informações;Validar processo de dimensionamento hora a hora.;Criar tabela de dimensionamento;Acompanhar físico x tabela de cálculo.</t>
  </si>
  <si>
    <t>o96uDVPn7kO1BO1Et1ngDWQADbuj</t>
  </si>
  <si>
    <t>Projeto 01 - Dimensionamento dos Reguladores de Telas</t>
  </si>
  <si>
    <t>Criar tabela de cálculo do dimensionamento;Adequar e validar o quadro de acordo com a demanda.;Aplicar automação de processo da tabela de cálculo;Acompanhar físico x Tabela de cálculo;Lançar FAP</t>
  </si>
  <si>
    <t>ZoTDwBVfnEmPgFXlKmTqjWQACeHJ</t>
  </si>
  <si>
    <t>Levantamento das atividades de assistentes</t>
  </si>
  <si>
    <t>Atividades Expandido/EVA;Atividades F3;Atividades TS;Levantamento das atividades automatizadas;Atividades F5</t>
  </si>
  <si>
    <t>BviPoBNEQkqKe9OduuH0yGQABFvA</t>
  </si>
  <si>
    <t>BI - Dados de Try out</t>
  </si>
  <si>
    <t>LanAVr4K706TZ6Q0KnKk12QAOVHp</t>
  </si>
  <si>
    <t>Atualização Automação Robô de Pintura</t>
  </si>
  <si>
    <t>Baixa</t>
  </si>
  <si>
    <t>Devido a prioridade da revisão do indicador de aproveitamento de estrutura não foi possível concluir a atividade.</t>
  </si>
  <si>
    <t>-WOhHxUVG0uivvr_8oCQf2QANUxA</t>
  </si>
  <si>
    <t>Indicadores Internos Engenharia</t>
  </si>
  <si>
    <t>Thiago Roberto Andrade Aguiar;Leonardo Costa da Silva</t>
  </si>
  <si>
    <t>Certificado;Apresentação;Projetos de Engenharia;Requisitar calçados;Kahoot</t>
  </si>
  <si>
    <t>2rd8eeiMKk-jy8_LpN3712QAFQiE</t>
  </si>
  <si>
    <t>Replicação - Automação de download de documentação Matrix</t>
  </si>
  <si>
    <t>2/3</t>
  </si>
  <si>
    <t>Realizar teste em escala;Realizar teste piloto;Ajustar código</t>
  </si>
  <si>
    <t>Replicar automação de download para salvar arquivos para a produção</t>
  </si>
  <si>
    <t>f33MEiU6ukyy7jcLOTwn8GQAAeql</t>
  </si>
  <si>
    <t>Fechar com fábrica envio dos armários sem gaveta</t>
  </si>
  <si>
    <t>9zblwr9fLE-QywwtpFEvcWQAKiRz</t>
  </si>
  <si>
    <t>Enviar caixas de celular para unidade de Crato</t>
  </si>
  <si>
    <t>KONvmT0RqUW8D3ZOUnzvNGQAM043</t>
  </si>
  <si>
    <t>Montar apresentação sobre o posto de revisão</t>
  </si>
  <si>
    <t>2026-07-27</t>
  </si>
  <si>
    <t>2K7dMYi9JEystw4Nj-ykz2QAF_H4</t>
  </si>
  <si>
    <t>Criar operação Montar 2 comp. no gabarito sapata</t>
  </si>
  <si>
    <t>0HISTDzjREupuKEUBXomwWQAHRPX</t>
  </si>
  <si>
    <t>[Semana 27-31/07] Melhorias - Semanal F03</t>
  </si>
  <si>
    <t>Adicionar dados pendentes;Revisão base para os dados de Volume;Adequar as novas colunas</t>
  </si>
  <si>
    <t>H3MlmWZ1QEyUZOuOMyiq92QANZ5-</t>
  </si>
  <si>
    <t>Estudo sobre setup de cor na rotografia</t>
  </si>
  <si>
    <t>2026-08-03</t>
  </si>
  <si>
    <t>Gravar vídeos de trocas de cor simples e complexas na rotografia;Escolher um produto para fazer análise da carga pendente;Fazer simulação da perda de tempo e custo do setup de acordo com a carga;Analisar possibilidade de fazer melhor sequenciamento de cores.</t>
  </si>
  <si>
    <t>CVrvPxUjU06TmKhbZjcXwmQAC0dR</t>
  </si>
  <si>
    <t>[Semana 20-24/07] Robô de alteração de Processos</t>
  </si>
  <si>
    <t>Mapear atividade de alteração do processo e operações de Base Coating;Criar robô para alteração automatizada;Testes e Revisões no robô;Execução da lista de componentes para alteração</t>
  </si>
  <si>
    <t>uOQd15wA7ku_i9V9PqU_FmQAPAh8</t>
  </si>
  <si>
    <t>Definição de Padrão (Capacidade) das esteiras do CD.</t>
  </si>
  <si>
    <t>Logística</t>
  </si>
  <si>
    <t>Francisco Martins da Silva</t>
  </si>
  <si>
    <t>zTEdatnkPUWYyj2qrOs7WWQAF7FB</t>
  </si>
  <si>
    <t>Análise de layout das salas de tintas para recebimento dos contêiner de adesivo.</t>
  </si>
  <si>
    <t>YaEnYWINY0iGZiTRFh-SgWQAIjcR</t>
  </si>
  <si>
    <t>Plano de comunicação do Programa de Melhorias - Gerencias e Coordenadores</t>
  </si>
  <si>
    <t>2026-08-10</t>
  </si>
  <si>
    <t>Estruturar material e criar o plano de comunicação para Gerentes e Coordenadores;Cronograma de Apresentação do Material - Programa de Melhorias - Conteúdo e Aderência</t>
  </si>
  <si>
    <t>A8URaDb6EESh35VGQ1yc5mQABR88</t>
  </si>
  <si>
    <t>Estudo - Setup de Cor</t>
  </si>
  <si>
    <t>Daniel Viana de Carvalho</t>
  </si>
  <si>
    <t>2026-08-07</t>
  </si>
  <si>
    <t>Levantar quantidade de PP/Líder Técnico por turno;Criar mapa de raciocínio do setup de cor para investigar as causas do acumulo de tempo;Verificar quantidade de setups simples e complexos por turno;Analisar os resultado dos tempos de Setup de Cor (estratificado);Acompanhar setups de cor</t>
  </si>
  <si>
    <t>iUqxskDAfk2VERuMOQ5KiGQAEbH8</t>
  </si>
  <si>
    <t>Criação do Video do Evento do Programa de Melhorias</t>
  </si>
  <si>
    <t>0/1</t>
  </si>
  <si>
    <t>Finalizar edição do vídeo do Evento de Melhorias</t>
  </si>
  <si>
    <t>9qD0NlOdtE6VRfIRsssna2QAAHId</t>
  </si>
  <si>
    <t>Criar cronograma de Passadas com Supervisores da Engenharia - Manoel</t>
  </si>
  <si>
    <t>Ia8IBp08ZEygk65zYtgGS2QACnKh</t>
  </si>
  <si>
    <t>Análise Engate de Escoamento (Dosador)</t>
  </si>
  <si>
    <t>Caso necessário, estudar novo protótipo para substituir o atual;Analisar modificação do protótipo atual;Pensar novo método para evitar descer da máquina com peso (matéria prima em excesso);Readequação do engate atual</t>
  </si>
  <si>
    <t>eRjP6tBFjkGUNrZ_bgTDPWQAEMX9</t>
  </si>
  <si>
    <t>Estruturar com as áreas sobre a Embalagem para o momento da Hora da Excelência</t>
  </si>
  <si>
    <t>aakzS-Auz0iP8i-K-YluAmQAFq5E</t>
  </si>
  <si>
    <t>22/07 - Reunião de Indicadores dos Montadores</t>
  </si>
  <si>
    <t>Pendências Fechamento de Indicadores</t>
  </si>
  <si>
    <t>Cronograma dos vídeos do Programa de Melhorias</t>
  </si>
  <si>
    <t>YuFczN61RUKxveXsNdFoa2QABRdG</t>
  </si>
  <si>
    <t>16/07 - Fechamento de Indicadores dos Transformadores</t>
  </si>
  <si>
    <t>Analisar complexidade da injeção de Fortaleza comparando com Sobral, resultados de OPE.;Comparativo de ineficiência da injeção full com expandido;Acompanhar implantação do SIMON na injeção de EVA;Apresentar quantidade de melhorias do grupo de inelegíveis;Separar os produtos com matrizes novas nos blocos das ineficiências.;Analisar ajuste de meta da injeção de Crato</t>
  </si>
  <si>
    <t>nfOLeiVx7EGZbEB9egTTjGQAGoDc</t>
  </si>
  <si>
    <t>Abertura de Solicitação de licença para IA - Para criação de vídeos HeyGEn</t>
  </si>
  <si>
    <t>Foi solicitado ao Renan Grabo o levantamento das IA com o objetivo de criação de vídeos e o mesmo realizou o levantamento. Valor</t>
  </si>
  <si>
    <t>Gq17wQxRgESknNCzCUcW8WQABvJb</t>
  </si>
  <si>
    <t>AMR para entrega de insumos (Sala de Tintas)</t>
  </si>
  <si>
    <t>2026-07-25</t>
  </si>
  <si>
    <t>bYSBzwl280uSIRXISLKFq2QAEy0t</t>
  </si>
  <si>
    <t>POP da troca de número na rotografia friso</t>
  </si>
  <si>
    <t>2026-07-28</t>
  </si>
  <si>
    <t>26dsmOCXAEeQi41emCT2ZmQAGXzw</t>
  </si>
  <si>
    <t>Estudos  - Sala de Amostras</t>
  </si>
  <si>
    <t>Daniel Viana de Carvalho;Aliny Kelly De Assis Rufino</t>
  </si>
  <si>
    <t>2026-07-29</t>
  </si>
  <si>
    <t>2026-08-21</t>
  </si>
  <si>
    <t>7/8</t>
  </si>
  <si>
    <t>Implementar pastas nas máquinas;Acompanhamento: pastas sendo utilizadas no novo formato (Acompanhar no físico);Aprofundamento na análise do histórico de solicitações dos kits (Solicitação André);Definir quantidade de pastas necessárias para compra;Análise do histórico de solicitações de kits;Protótipo de layout;Medição Sala de revisão x  Sala de amostra;Implementação: realocação de pastas com divisórias</t>
  </si>
  <si>
    <t>o7wTpgviUkibX92RQKooLWQAOo1A</t>
  </si>
  <si>
    <t>Fazer análise da troca de caixa preparação com elevador</t>
  </si>
  <si>
    <t>9BsFcrppZ0GNy5dAH1A8wGQAMbUC</t>
  </si>
  <si>
    <t>Fazer análise do apontamento SIMON Setup</t>
  </si>
  <si>
    <t>OR3EECFgIUGH8MdHCrB-rGQAE-F1</t>
  </si>
  <si>
    <t>Fazer análise apontamento SIMON Disponibilidade</t>
  </si>
  <si>
    <t>LuppmLo5wEWxlAY53tYdKmQAFXe9</t>
  </si>
  <si>
    <t>Fazer a solicitação do Usuario da IA HeyGEn - Para produção de Videos do Programa de Melhorias</t>
  </si>
  <si>
    <t>RnOEoxFvm0W2IL5gFQ49eGQAOe25</t>
  </si>
  <si>
    <t>Revisar análise - Unir Tira, enformar prensar e desenformar - sorveteira a vácuo</t>
  </si>
  <si>
    <t>L3GVZ9BgwUS52DIPmFLnNGQAF0JA</t>
  </si>
  <si>
    <t>Revisar análise - Aplicar Cola em sola, Área de Colagem da palmilha, Sola Cape Gaspea Adulto</t>
  </si>
  <si>
    <t>nx6ETudwhkSZKF-DlV9LdmQAMmMc</t>
  </si>
  <si>
    <t>Liberar análise - Unir palmilha em cabedal com sola plataforma EVA + Enformar, Prensar e Desenformar, Sorveteira, Obter forma sem dedeira e Obter cabedal da esteira, Cabedal Com Tira de Fech</t>
  </si>
  <si>
    <t>1ddPje12i0ShFE3QmIWCtGQADlMD</t>
  </si>
  <si>
    <t>Criar análise - Passar sola pelo termoget, sola baixa, obter e dispor na esteira + Retirar fio de cola palmilha</t>
  </si>
  <si>
    <t>IQagZw7PYEuAexzyqYIbdmQAHy6h</t>
  </si>
  <si>
    <t>Imprimir e Enviar formas do modelo 38154 para Fortaleza</t>
  </si>
  <si>
    <t>8KsST1BOoEK6Pf8uBKz-_WQAH0WU</t>
  </si>
  <si>
    <t>Ações de Planejamento Programa de Melhorias Mai-Jun26</t>
  </si>
  <si>
    <t>6/6</t>
  </si>
  <si>
    <t>Impressão dos Certificados;Criação da  Apresentação do Evento;Impressão dos Cartões dos Premiados;Vídeo de Comunicação - Programa de Melhorias;Requisição dos calçados Programa de Melhorias - 03/08/2026;Requisição dos calçados Indicadores Internos - 29/07/2026</t>
  </si>
  <si>
    <t>RQwDVlQdsUCAhihPeHJq82QAO_BU</t>
  </si>
  <si>
    <t>Desenhar e imprimir bases para placas laboratório</t>
  </si>
  <si>
    <t>e_DhwMFXfkyGs6sRang6fGQAKO7a</t>
  </si>
  <si>
    <t>Revisar análise - Unir dedeira e palmilha no cabedal EVA, obter sola com palmilha já preso da esteira, dispor na esteira</t>
  </si>
  <si>
    <t>IO8hRZVgcES2pP2D1qDU-2QAOXzT</t>
  </si>
  <si>
    <t>Fechar indicadores de Julho e Criar indicadores de Agosto</t>
  </si>
  <si>
    <t>11/13</t>
  </si>
  <si>
    <t>Melhoria TC;Auditoria 5S;Banco de Horas;Aprov. Estrutura Melissa;Passada Horizontal;Auditoria Produto Certificado;Melhoria MP;Aprov. Estrutura;Aderência MTM Melissa;Ineficiência;Aderência MTM;Certificação De produtos;Inclusão de batida</t>
  </si>
  <si>
    <t>EXBWHiRVBEiEsWb3GQzPnmQAIJGM</t>
  </si>
  <si>
    <t>Revisar análise - Limpar fio de cola, área da palmilha, com pincel, bico e calcanhar, obter simultâneo da esteira e dispor simultâneo, AD/INF</t>
  </si>
  <si>
    <t>pcpJf9LytE6xf1yc5CQFg2QAFgYS</t>
  </si>
  <si>
    <t>Criar análise - Embutir cabedal na palmilha, 1 Dedeira + Aplicar Cola na Dedeira 3 áreas, com Bico de Pato Simples, Obter da esteira, Par</t>
  </si>
  <si>
    <t>sbymhEvYZESsUZHJp03GD2QAFOku</t>
  </si>
  <si>
    <t>Acompanhamento de PPPs na hora das trocas de cor para verificar se realmente há problemas com o robô</t>
  </si>
  <si>
    <t>rNBhsyV_rUu6f7HcsUjo_mQAL8R3</t>
  </si>
  <si>
    <t>Reunião com PPPs sobre custo do setup e premiação SMED</t>
  </si>
  <si>
    <t>5/6</t>
  </si>
  <si>
    <t>Fábrica 6 - 2° turno;Fábrica 1 - 2° turno;Fábrica 7 - 2° turno;Fábrica 6 - 1° turno;Fábrica 1 - 1° turno;Fábrica 7 - 1° turno</t>
  </si>
  <si>
    <t>ZjAN4YBVIESVi-rcfclTBWQADyss</t>
  </si>
  <si>
    <t>MOI - Sala de Tintas</t>
  </si>
  <si>
    <t>0/7</t>
  </si>
  <si>
    <t>Mapear todas as atividades realizadas na área e funções;Apresentar e validar com a gestão;Nova proposta de dimensionamento;Levantamento da situação atual;Testar nova proposta de dimensionamento;Lançar FAP;Verificar possíveis melhorias ou automações de processos</t>
  </si>
  <si>
    <t>RY5Q6Ny2L0Wf47VKIVIN_GQAEBW-</t>
  </si>
  <si>
    <t>Acompanhar a aplicação dos Manifolds - Troca Rápida de Ar</t>
  </si>
  <si>
    <t>Alan Feitosa Vilela</t>
  </si>
  <si>
    <t>Gravar trocas utilizando o Manifold;Apresentar os resultados - Análise ECRS;Acompanhar a entrega de 26 Manifold's para os Trocadores</t>
  </si>
  <si>
    <t>Fortaleza</t>
  </si>
  <si>
    <t>LL_60M67Y0u6j48HsR-IemQALK5O</t>
  </si>
  <si>
    <t>Verificar atividades e tempo dedicado pelo PPP nos setups (linha sempre nova)</t>
  </si>
  <si>
    <t>Troca de número;Troca de produto;Troca de cor</t>
  </si>
  <si>
    <t>xx5BBKGbDU6jwKylO_7UcGQAHFZt</t>
  </si>
  <si>
    <t>MOI - Caixas Vazias - Injeção</t>
  </si>
  <si>
    <t>4/6</t>
  </si>
  <si>
    <t>Testar proposta no físico;Apresentar e validar com a gestão;Mapear as atividades do estado atual;Lançar FAP;Estudar a mão de obra necessária - atividades x demanda;Nova proposta de dimensionamento</t>
  </si>
  <si>
    <t>H3-1qjrOz0-qUorRG781tWQAOko1</t>
  </si>
  <si>
    <t>Envio ganchos das bolsas para Fortaleza</t>
  </si>
  <si>
    <t>BUYzjtkooEClYXg8toif6WQAM5FM</t>
  </si>
  <si>
    <t>Solicitar requisição, corte e costura do coverline para Fortaleza, F8 e F6</t>
  </si>
  <si>
    <t>27a420t5xkmsghhoChwJmWQAAM5s</t>
  </si>
  <si>
    <t>Adaptação do moinho para moer purga inteira (Eliminar necessidade de recorte da purga).</t>
  </si>
  <si>
    <t>Aliny Kelly De Assis Rufino</t>
  </si>
  <si>
    <t>2026-08-04</t>
  </si>
  <si>
    <t>2/4</t>
  </si>
  <si>
    <t>Verificar com produção (EVA) fluxo de classificação dos resíduos para enviar ao Crato.;Conhecer fluxo de geração de resíduos Crato (repasse Charliane);Criar mapa de raciocínio da Geração de Resíduos do Eva;Análise de custo benefício do uso do mini moinho na máquina. Verificar qual o ganho.</t>
  </si>
  <si>
    <t>PnMwadqpc0uK49anW0NF-WQACkJi</t>
  </si>
  <si>
    <t>Imprimir e enviar formas para Fortaleza</t>
  </si>
  <si>
    <t>74AiW4wn7UOuEigltEytyGQAARHm</t>
  </si>
  <si>
    <t>Envio modelos sem bloco e atualização painel ineficiência</t>
  </si>
  <si>
    <t>9/12</t>
  </si>
  <si>
    <t>Fortaleza - Montagem OK;Envio da lista de modelos;Crato - Montagem;Crato - FULL;Fortaleza  - FULL;Fábrica 6;Atualização;Expandido;Crato - EVA;Fábrica 7;Fábrica 1;Fábrica 3 - OK</t>
  </si>
  <si>
    <t>uq0Y8XhmBkO8Tlo5YwfOwWQANXfU</t>
  </si>
  <si>
    <t>Enviar relatório dos modelos injeção EVA para ergonomia</t>
  </si>
  <si>
    <t>fLAwTKFbcE6M5-zDkvcL8mQAPBhB</t>
  </si>
  <si>
    <t>Planilha de acionamento de indicadores</t>
  </si>
  <si>
    <t>IfIB5NYD3kSKS2MWGOrRV2QAOr_1</t>
  </si>
  <si>
    <t>Revisar análise - Aplicar Insumo em Sola, Bisnaga, Aplicação Lateral e Forquilha ( logo), Esteira</t>
  </si>
  <si>
    <t>s6Qxd1Vh50KIE_Kuhy7XBGQABPtL</t>
  </si>
  <si>
    <t>Comparativo de qtde de ordens previstas e qtde apontadas</t>
  </si>
  <si>
    <t>Fábrica 6;Fábrica 1;Fábrica 7</t>
  </si>
  <si>
    <t>L0MduXVsuEWSuPiYfVagqmQAEHXr</t>
  </si>
  <si>
    <t>Fazer comparativo para ajuste de metas de setup no TS</t>
  </si>
  <si>
    <t>TS7;TS6;TS1</t>
  </si>
  <si>
    <t>RO0vnpily062hQeRfzQlCWQAHGTT</t>
  </si>
  <si>
    <t>Padronização do posto de trabalho da Op. preparação de sola</t>
  </si>
  <si>
    <t>Leonardo Galdino de Oliveira;William Kennedy Rodrigues Lopes</t>
  </si>
  <si>
    <t>Cria um protótipo de sistema de 2 caixas, sendo 2 elevadores, 1 elétrico e 1 por gravidade;Fazer teste do sistema de 2 caixa;Fazer teste do Protótipo do Karakuri;Criar uma Protótipo com Karakuri para descer caixa vazia</t>
  </si>
  <si>
    <t>LQk77_Gbh0-XnQRENsuP2WQAAuef</t>
  </si>
  <si>
    <t>Criar uma proposta de Sistema de Duas Caixa , 2 elevadores , sendo 1 elétrico e 1  gravidade</t>
  </si>
  <si>
    <t>2352dhbgGk249Y_0l2k0K2QAESIp</t>
  </si>
  <si>
    <t>Proposta: eliminar subida no dosador durante o setup de cor</t>
  </si>
  <si>
    <t>Verificar possibilidade de instalar pistola de ar comprimido internamente no dosador;Análise de material residual;Elaborar mapa de retenção de matéria prima no dosador;Analisar estrutura física do dosador</t>
  </si>
  <si>
    <t>fG4xgd8RDECMploZyZYeu2QAMBJY</t>
  </si>
  <si>
    <t>Revisar análise - 	Vazar Tira, Pega da esteira, 2 encaixes no gabarito + retirar refugo</t>
  </si>
  <si>
    <t>YSgR0_xY30KgxOBhsZMqnmQALsrs</t>
  </si>
  <si>
    <t>Enviar cálculo de necessidade de material para impressão filtro enforquilhadeira</t>
  </si>
  <si>
    <t>N8vtIQz4FkOqjvxuBFzUumQACUWU</t>
  </si>
  <si>
    <t>Enviar placas para comprador, placas impressora 3D</t>
  </si>
  <si>
    <t>806G9b9ABU2rkXu8ehkEQmQABEUp</t>
  </si>
  <si>
    <t>Iniciar estudo: Robô AMR de Matrizes</t>
  </si>
  <si>
    <t>2026-08-17</t>
  </si>
  <si>
    <t>Mapear futuro fluxo do robô;Analisar quantidades de Setup (estratificado);Rever fluxo do processo de entrega de matrizes</t>
  </si>
  <si>
    <t>SlyXosd1C0qfuFC1EJgA0GQAAja3</t>
  </si>
  <si>
    <t>Monitoramento: Redução de Trocadores de Matrizes</t>
  </si>
  <si>
    <t>0/2</t>
  </si>
  <si>
    <t>Acompanhar impacto da redução nos setups;Elaborar relatório: setups per capita</t>
  </si>
  <si>
    <t>hIXNC6wrI0GuLIbv0YWofWQAI_tZ</t>
  </si>
  <si>
    <t>Entrega parcial da confecção de rolinhos para F7</t>
  </si>
  <si>
    <t>Total: - 200 rolinhos;Entregue - 0 - 0%</t>
  </si>
  <si>
    <t>X3RBB-m8L06dfTD5n3YnsmQAP_II</t>
  </si>
  <si>
    <t>Entrega parcial dos filtros das enforquilhadeiras</t>
  </si>
  <si>
    <t>Entregue - 0 - 0%;Total: 350</t>
  </si>
  <si>
    <t>ypAxxfIaZ0-_az66kP5Aj2QAILfB</t>
  </si>
  <si>
    <t>Automação da planilha de Abastecedores de PA</t>
  </si>
  <si>
    <t>LgFox6LiBkiRRvNyIOTaYGQAFQtx</t>
  </si>
  <si>
    <t>Gestão de Projetos</t>
  </si>
  <si>
    <t>KIfHiHgMjUeezxBeVZXLlmQABdnJ</t>
  </si>
  <si>
    <t>63dd591c-960d-4c36-ad48-5b9197dc40ea;p_lylMOxR0ykz-6CgdD7JGQABhqd;3a4654ae-d002-45f0-a510-5a3d7e37c058;13401436-5972-4968-9178-08d3bcd592a4;8c3f18d2-9083-4819-8529-3d7d7f9bfbda</t>
  </si>
  <si>
    <t>63dd591c-960d-4c36-ad48-5b9197dc40ea</t>
  </si>
  <si>
    <t>c40cc4cc-bdb3-454f-a193-cf3e59051c09</t>
  </si>
  <si>
    <t>63dd591c-960d-4c36-ad48-5b9197dc40ea;b12ce1b5-2aa7-4f1d-b43a-272d90aabbe2;p_lylMOxR0ykz-6CgdD7JGQABhqd;3a4654ae-d002-45f0-a510-5a3d7e37c058;13401436-5972-4968-9178-08d3bcd592a4;8c3f18d2-9083-4819-8529-3d7d7f9bfbda</t>
  </si>
  <si>
    <t>b12ce1b5-2aa7-4f1d-b43a-272d90aabbe2</t>
  </si>
  <si>
    <t>vrAXgpRmkkiXVCuPMVArUmQAPEty</t>
  </si>
  <si>
    <t>10FemLyfzUaLyDeuyzZepmQACfMU;p_lylMOxR0ykz-6CgdD7JGQABhqd</t>
  </si>
  <si>
    <t>10FemLyfzUaLyDeuyzZepmQACfMU</t>
  </si>
  <si>
    <t>10FemLyfzUaLyDeuyzZepmQACfMU;vrAXgpRmkkiXVCuPMVArUmQAPEty</t>
  </si>
  <si>
    <t>10FemLyfzUaLyDeuyzZepmQACfMU;3a4654ae-d002-45f0-a510-5a3d7e37c058</t>
  </si>
  <si>
    <t>QKOg4Hdgj0ivgeBuZ62ybmQAI-jH</t>
  </si>
  <si>
    <t>UIsKR4azC0aIhKUlTIZKCWQAAOHD</t>
  </si>
  <si>
    <t>8c3f18d2-9083-4819-8529-3d7d7f9bfbda</t>
  </si>
  <si>
    <t>1XwoBpXjJ02mmuVIAeaTAGQAGr4T</t>
  </si>
  <si>
    <t>CPyA7_JXT0Ot246svFbgKWQADc9O</t>
  </si>
  <si>
    <t>63dd591c-960d-4c36-ad48-5b9197dc40ea;07a2aff1-4a07-48ba-8ada-daf14a19fd85</t>
  </si>
  <si>
    <t>NHhoi0Q460Owj98eJ_OOMmQANgsZ</t>
  </si>
  <si>
    <t>05f35150-a826-4040-9362-c540d816ffd0</t>
  </si>
  <si>
    <t>3a4654ae-d002-45f0-a510-5a3d7e37c058;8c3f18d2-9083-4819-8529-3d7d7f9bfbda</t>
  </si>
  <si>
    <t>_TclC5XyU0itQqOSRgoOa2QAB9Fw</t>
  </si>
  <si>
    <t>jcA3eTZpVESyCtCrwdC8t2QAAqf5</t>
  </si>
  <si>
    <t>9686d721-f970-4664-808d-2b7eccd6564a</t>
  </si>
  <si>
    <t>68oi7tmPFkWnLtIUxxbIyGQAGAus</t>
  </si>
  <si>
    <t>1c74a3a3-f72d-417f-97b2-b50d886d5068</t>
  </si>
  <si>
    <t>rMSwZXAoc0e0KRod7mGv3mQAO_ax</t>
  </si>
  <si>
    <t>dfffd270-6981-4011-8fa1-759e71d9f99e</t>
  </si>
  <si>
    <t>fd56df57-6763-4283-b5e9-97b57478fb7a</t>
  </si>
  <si>
    <t>3a4654ae-d002-45f0-a510-5a3d7e37c058</t>
  </si>
  <si>
    <t>9686d721-f970-4664-808d-2b7eccd6564a;05f35150-a826-4040-9362-c540d816ffd0</t>
  </si>
  <si>
    <t>hzRxxQYRwUmjMGwIgIiUvGQABgeH</t>
  </si>
  <si>
    <t>13401436-5972-4968-9178-08d3bcd592a4</t>
  </si>
  <si>
    <t>58a13380-4d77-41ea-9406-2f4cb7f6bd8c</t>
  </si>
  <si>
    <t>X4rT7zMEMUaVaYHT5_sXtWQAMXMy</t>
  </si>
  <si>
    <t>58a13380-4d77-41ea-9406-2f4cb7f6bd8c;07a2aff1-4a07-48ba-8ada-daf14a19fd85</t>
  </si>
  <si>
    <t>da78ac04-7f85-4d9a-afb4-9b5876e9062b</t>
  </si>
  <si>
    <t>07a2aff1-4a07-48ba-8ada-daf14a19fd85</t>
  </si>
  <si>
    <t>1c74a3a3-f72d-417f-97b2-b50d886d5068;3a4654ae-d002-45f0-a510-5a3d7e37c058</t>
  </si>
  <si>
    <t>ID da Meta</t>
  </si>
  <si>
    <t>Nome da meta</t>
  </si>
  <si>
    <t>Data de término</t>
  </si>
  <si>
    <t>Tarefas conectadas</t>
  </si>
  <si>
    <t>No prazo</t>
  </si>
  <si>
    <t>5</t>
  </si>
  <si>
    <t>Otimização Setup Matriz EVA;SMED Setup de Cor EVA</t>
  </si>
  <si>
    <t>2026-11-06</t>
  </si>
  <si>
    <t>MOI - Movimentadores de Caixas Montagem;MOI - Auxiliar de Matrizaria;MOI - Matrizeiro;MOI - Tegad / Célula de Layout;Projeto TR Cabine de Pintura Manual;Projeto 02 - Dimensionamento dos Trocadores de Layout Fáb. 06;Projeto 02 - Dimensionamento dos Trocadores de Layout Fáb. 07;Projeto 02 - Dimensionamento dos Trocadores de Layout Crato;Projeto 02 - Dimensionamento dos Trocadores de Layout Fáb. 01;Projeto 01 - Dimensionamento dos Reguladores de Telas</t>
  </si>
  <si>
    <t>ID de Bucket</t>
  </si>
  <si>
    <t>Nome do Bucket</t>
  </si>
  <si>
    <t>ID do Usuário</t>
  </si>
  <si>
    <t>Nome do usuário</t>
  </si>
  <si>
    <t>Email</t>
  </si>
  <si>
    <t>romulo.aguiar@grendene.com.br</t>
  </si>
  <si>
    <t>william.lopes@grendene.com.br</t>
  </si>
  <si>
    <t>martins.silva@grendene.com.br</t>
  </si>
  <si>
    <t>charlianeb.alencar@grendene.com.br</t>
  </si>
  <si>
    <t>fernanda.araujo@grendene.com.br</t>
  </si>
  <si>
    <t>aliny.rufino@grendene.com.br</t>
  </si>
  <si>
    <t>silva.leonardo@grendene.com.br</t>
  </si>
  <si>
    <t>roberto.aguiar@grendene.com.br</t>
  </si>
  <si>
    <t>leonardo.oliveir@grendene.com.br</t>
  </si>
  <si>
    <t>nalbert.vieira@grendene.com.br</t>
  </si>
  <si>
    <t>daniel.carvalho@grendene.com.br</t>
  </si>
  <si>
    <t>alan.vilela@grendene.com.br</t>
  </si>
  <si>
    <t>PEND</t>
  </si>
  <si>
    <t>LOG</t>
  </si>
  <si>
    <t>MTM/3D</t>
  </si>
  <si>
    <t>PD/CERT</t>
  </si>
  <si>
    <t>PG/MEL</t>
  </si>
  <si>
    <t>KPI</t>
  </si>
  <si>
    <t>MEL/BI</t>
  </si>
  <si>
    <t>Sigla</t>
  </si>
  <si>
    <t>Descrição</t>
  </si>
  <si>
    <t>Tarefas Antigas</t>
  </si>
  <si>
    <t>Orçamento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</si>
</sst>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2" borderId="0" xfId="0" applyFill="1"/>
    <xf numFmtId="0" fontId="1" fillId="0" borderId="0" xfId="1"/>
  </cellXfs>
  <cellStyles count="2">
    <cellStyle name="Normal" xfId="0" builtinId="0"/>
    <cellStyle name="Normal 2" xfId="1" xr:uid="{AE7BAB70-733E-4221-81CA-E809AFC2488D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/>
  </sheetViews>
  <sheetFormatPr defaultRowHeight="15.75" x14ac:dyDescent="0.25"/>
  <cols>
    <col min="1" max="1" width="32.875" customWidth="1"/>
    <col min="2" max="2" width="24.875" customWidth="1"/>
    <col min="3" max="3" width="11.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511811024" right="0.511811024" top="0.78740157499999996" bottom="0.78740157499999996" header="0.31496062000000002" footer="0.31496062000000002"/>
  <headerFooter>
    <oddFooter>&amp;L_x000D_&amp;1#&amp;"Aptos"&amp;10&amp;K000000 Classificação Privada</oddFooter>
  </headerFooter>
  <ignoredErrors>
    <ignoredError sqref="A1:C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25"/>
  <sheetViews>
    <sheetView tabSelected="1" workbookViewId="0"/>
  </sheetViews>
  <sheetFormatPr defaultRowHeight="15.75" x14ac:dyDescent="0.25"/>
  <cols>
    <col min="1" max="1" width="3.875" customWidth="1"/>
    <col min="2" max="2" width="55.375" customWidth="1"/>
    <col min="3" max="4" width="32.875" customWidth="1"/>
    <col min="5" max="5" width="14.875" customWidth="1"/>
    <col min="6" max="6" width="18.875" customWidth="1"/>
    <col min="7" max="7" width="40.875" customWidth="1"/>
    <col min="8" max="8" width="32.875" customWidth="1"/>
    <col min="9" max="9" width="17.125" customWidth="1"/>
    <col min="10" max="10" width="18" bestFit="1" customWidth="1"/>
    <col min="11" max="11" width="14.125" bestFit="1" customWidth="1"/>
    <col min="12" max="12" width="13.25" bestFit="1" customWidth="1"/>
    <col min="13" max="13" width="8.875" customWidth="1"/>
    <col min="14" max="14" width="11.875" customWidth="1"/>
    <col min="15" max="15" width="32.875" customWidth="1"/>
    <col min="16" max="16" width="41.625" customWidth="1"/>
    <col min="17" max="19" width="32.875" customWidth="1"/>
    <col min="20" max="20" width="13.375" customWidth="1"/>
  </cols>
  <sheetData>
    <row r="1" spans="1:20" x14ac:dyDescent="0.25">
      <c r="A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t="s">
        <v>12</v>
      </c>
      <c r="H1" s="1" t="s">
        <v>13</v>
      </c>
      <c r="I1" s="1" t="s">
        <v>14</v>
      </c>
      <c r="J1" s="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s="1" t="s">
        <v>21</v>
      </c>
      <c r="Q1" s="1" t="s">
        <v>22</v>
      </c>
      <c r="R1" t="s">
        <v>23</v>
      </c>
      <c r="S1" t="s">
        <v>24</v>
      </c>
      <c r="T1" t="s">
        <v>530</v>
      </c>
    </row>
    <row r="2" spans="1:20" x14ac:dyDescent="0.25">
      <c r="A2" t="s">
        <v>25</v>
      </c>
      <c r="B2" t="s">
        <v>26</v>
      </c>
      <c r="C2" t="str">
        <f>_xlfn.XLOOKUP(A2,Tarefas!A:A,Tarefas!C:C)</f>
        <v>Programa de Melhorias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28</v>
      </c>
      <c r="L2" t="s">
        <v>28</v>
      </c>
      <c r="M2" t="s">
        <v>35</v>
      </c>
      <c r="N2" t="s">
        <v>28</v>
      </c>
      <c r="O2" t="s">
        <v>28</v>
      </c>
      <c r="P2" t="s">
        <v>36</v>
      </c>
      <c r="Q2" t="s">
        <v>37</v>
      </c>
      <c r="R2" t="s">
        <v>28</v>
      </c>
      <c r="T2">
        <v>880.64</v>
      </c>
    </row>
    <row r="3" spans="1:20" x14ac:dyDescent="0.25">
      <c r="A3" t="s">
        <v>38</v>
      </c>
      <c r="B3" t="s">
        <v>26</v>
      </c>
      <c r="C3" t="str">
        <f>_xlfn.XLOOKUP(A3,Tarefas!A:A,Tarefas!C:C)</f>
        <v>Programa de Melhorias</v>
      </c>
      <c r="D3" t="s">
        <v>28</v>
      </c>
      <c r="E3" t="s">
        <v>39</v>
      </c>
      <c r="F3" t="s">
        <v>30</v>
      </c>
      <c r="G3" t="s">
        <v>31</v>
      </c>
      <c r="H3" t="s">
        <v>40</v>
      </c>
      <c r="I3" t="s">
        <v>41</v>
      </c>
      <c r="J3" t="s">
        <v>42</v>
      </c>
      <c r="K3" t="s">
        <v>28</v>
      </c>
      <c r="L3" t="s">
        <v>28</v>
      </c>
      <c r="M3" t="s">
        <v>35</v>
      </c>
      <c r="N3" t="s">
        <v>33</v>
      </c>
      <c r="O3" t="s">
        <v>32</v>
      </c>
      <c r="P3" t="s">
        <v>43</v>
      </c>
      <c r="Q3" t="s">
        <v>37</v>
      </c>
      <c r="R3" t="s">
        <v>28</v>
      </c>
      <c r="T3">
        <v>321.55</v>
      </c>
    </row>
    <row r="4" spans="1:20" x14ac:dyDescent="0.25">
      <c r="A4" t="s">
        <v>44</v>
      </c>
      <c r="B4" t="s">
        <v>26</v>
      </c>
      <c r="C4" t="str">
        <f>_xlfn.XLOOKUP(A4,Tarefas!A:A,Tarefas!C:C)</f>
        <v>Programa de Melhorias</v>
      </c>
      <c r="D4" t="s">
        <v>28</v>
      </c>
      <c r="E4" t="s">
        <v>39</v>
      </c>
      <c r="F4" t="s">
        <v>30</v>
      </c>
      <c r="G4" t="s">
        <v>45</v>
      </c>
      <c r="H4" t="s">
        <v>40</v>
      </c>
      <c r="I4" t="s">
        <v>41</v>
      </c>
      <c r="J4" t="s">
        <v>46</v>
      </c>
      <c r="K4" t="s">
        <v>28</v>
      </c>
      <c r="L4" t="s">
        <v>28</v>
      </c>
      <c r="M4" t="s">
        <v>35</v>
      </c>
      <c r="N4" t="s">
        <v>41</v>
      </c>
      <c r="O4" t="s">
        <v>40</v>
      </c>
      <c r="P4" t="s">
        <v>47</v>
      </c>
      <c r="Q4" t="s">
        <v>48</v>
      </c>
      <c r="R4" t="s">
        <v>28</v>
      </c>
      <c r="T4">
        <v>560.77</v>
      </c>
    </row>
    <row r="5" spans="1:20" x14ac:dyDescent="0.25">
      <c r="A5" t="s">
        <v>49</v>
      </c>
      <c r="B5" t="s">
        <v>26</v>
      </c>
      <c r="C5" t="str">
        <f>_xlfn.XLOOKUP(A5,Tarefas!A:A,Tarefas!C:C)</f>
        <v>Programa de Melhorias</v>
      </c>
      <c r="D5" t="s">
        <v>28</v>
      </c>
      <c r="E5" t="s">
        <v>39</v>
      </c>
      <c r="F5" t="s">
        <v>30</v>
      </c>
      <c r="G5" t="s">
        <v>45</v>
      </c>
      <c r="H5" t="s">
        <v>40</v>
      </c>
      <c r="I5" t="s">
        <v>41</v>
      </c>
      <c r="J5" t="s">
        <v>50</v>
      </c>
      <c r="K5" t="s">
        <v>28</v>
      </c>
      <c r="L5" t="s">
        <v>28</v>
      </c>
      <c r="M5" t="s">
        <v>35</v>
      </c>
      <c r="N5" t="s">
        <v>41</v>
      </c>
      <c r="O5" t="s">
        <v>40</v>
      </c>
      <c r="P5" t="s">
        <v>47</v>
      </c>
      <c r="Q5" t="s">
        <v>48</v>
      </c>
      <c r="R5" t="s">
        <v>28</v>
      </c>
      <c r="T5">
        <v>755.5</v>
      </c>
    </row>
    <row r="6" spans="1:20" x14ac:dyDescent="0.25">
      <c r="A6" t="s">
        <v>51</v>
      </c>
      <c r="B6" t="s">
        <v>26</v>
      </c>
      <c r="C6" t="str">
        <f>_xlfn.XLOOKUP(A6,Tarefas!A:A,Tarefas!C:C)</f>
        <v>Programa de Melhorias</v>
      </c>
      <c r="D6" t="s">
        <v>28</v>
      </c>
      <c r="E6" t="s">
        <v>39</v>
      </c>
      <c r="F6" t="s">
        <v>30</v>
      </c>
      <c r="G6" t="s">
        <v>45</v>
      </c>
      <c r="H6" t="s">
        <v>40</v>
      </c>
      <c r="I6" t="s">
        <v>41</v>
      </c>
      <c r="J6" t="s">
        <v>52</v>
      </c>
      <c r="K6" t="s">
        <v>28</v>
      </c>
      <c r="L6" t="s">
        <v>28</v>
      </c>
      <c r="M6" t="s">
        <v>35</v>
      </c>
      <c r="N6" t="s">
        <v>41</v>
      </c>
      <c r="O6" t="s">
        <v>40</v>
      </c>
      <c r="P6" t="s">
        <v>47</v>
      </c>
      <c r="Q6" t="s">
        <v>48</v>
      </c>
      <c r="R6" t="s">
        <v>28</v>
      </c>
      <c r="T6">
        <v>349.29</v>
      </c>
    </row>
    <row r="7" spans="1:20" x14ac:dyDescent="0.25">
      <c r="A7" t="s">
        <v>53</v>
      </c>
      <c r="B7" t="s">
        <v>26</v>
      </c>
      <c r="C7" t="str">
        <f>_xlfn.XLOOKUP(A7,Tarefas!A:A,Tarefas!C:C)</f>
        <v>Programa de Melhorias</v>
      </c>
      <c r="D7" t="s">
        <v>28</v>
      </c>
      <c r="E7" t="s">
        <v>39</v>
      </c>
      <c r="F7" t="s">
        <v>30</v>
      </c>
      <c r="G7" t="s">
        <v>45</v>
      </c>
      <c r="H7" t="s">
        <v>40</v>
      </c>
      <c r="I7" t="s">
        <v>41</v>
      </c>
      <c r="J7" t="s">
        <v>54</v>
      </c>
      <c r="K7" t="s">
        <v>28</v>
      </c>
      <c r="L7" t="s">
        <v>28</v>
      </c>
      <c r="M7" t="s">
        <v>35</v>
      </c>
      <c r="N7" t="s">
        <v>41</v>
      </c>
      <c r="O7" t="s">
        <v>40</v>
      </c>
      <c r="P7" t="s">
        <v>47</v>
      </c>
      <c r="Q7" t="s">
        <v>48</v>
      </c>
      <c r="R7" t="s">
        <v>28</v>
      </c>
      <c r="T7">
        <v>285</v>
      </c>
    </row>
    <row r="8" spans="1:20" x14ac:dyDescent="0.25">
      <c r="A8" t="s">
        <v>55</v>
      </c>
      <c r="B8" t="s">
        <v>26</v>
      </c>
      <c r="C8" t="str">
        <f>_xlfn.XLOOKUP(A8,Tarefas!A:A,Tarefas!C:C)</f>
        <v>Programa de Melhorias</v>
      </c>
      <c r="D8" t="s">
        <v>28</v>
      </c>
      <c r="E8" t="s">
        <v>39</v>
      </c>
      <c r="F8" t="s">
        <v>30</v>
      </c>
      <c r="G8" t="s">
        <v>45</v>
      </c>
      <c r="H8" t="s">
        <v>40</v>
      </c>
      <c r="I8" t="s">
        <v>41</v>
      </c>
      <c r="J8" t="s">
        <v>56</v>
      </c>
      <c r="K8" t="s">
        <v>28</v>
      </c>
      <c r="L8" t="s">
        <v>28</v>
      </c>
      <c r="M8" t="s">
        <v>35</v>
      </c>
      <c r="N8" t="s">
        <v>41</v>
      </c>
      <c r="O8" t="s">
        <v>40</v>
      </c>
      <c r="P8" t="s">
        <v>47</v>
      </c>
      <c r="Q8" t="s">
        <v>48</v>
      </c>
      <c r="R8" t="s">
        <v>28</v>
      </c>
      <c r="T8">
        <v>502.98</v>
      </c>
    </row>
    <row r="9" spans="1:20" x14ac:dyDescent="0.25">
      <c r="A9" t="s">
        <v>57</v>
      </c>
      <c r="B9" t="s">
        <v>26</v>
      </c>
      <c r="C9" t="str">
        <f>_xlfn.XLOOKUP(A9,Tarefas!A:A,Tarefas!C:C)</f>
        <v>Programa de Melhorias</v>
      </c>
      <c r="D9" t="s">
        <v>28</v>
      </c>
      <c r="E9" t="s">
        <v>39</v>
      </c>
      <c r="F9" t="s">
        <v>30</v>
      </c>
      <c r="G9" t="s">
        <v>45</v>
      </c>
      <c r="H9" t="s">
        <v>40</v>
      </c>
      <c r="I9" t="s">
        <v>41</v>
      </c>
      <c r="J9" t="s">
        <v>58</v>
      </c>
      <c r="K9" t="s">
        <v>28</v>
      </c>
      <c r="L9" t="s">
        <v>28</v>
      </c>
      <c r="M9" t="s">
        <v>35</v>
      </c>
      <c r="N9" t="s">
        <v>41</v>
      </c>
      <c r="O9" t="s">
        <v>40</v>
      </c>
      <c r="P9" t="s">
        <v>47</v>
      </c>
      <c r="Q9" t="s">
        <v>48</v>
      </c>
      <c r="R9" t="s">
        <v>28</v>
      </c>
      <c r="T9">
        <v>110.46</v>
      </c>
    </row>
    <row r="10" spans="1:20" x14ac:dyDescent="0.25">
      <c r="A10" t="s">
        <v>59</v>
      </c>
      <c r="B10" t="s">
        <v>26</v>
      </c>
      <c r="C10" t="str">
        <f>_xlfn.XLOOKUP(A10,Tarefas!A:A,Tarefas!C:C)</f>
        <v>Programa de Melhorias</v>
      </c>
      <c r="D10" t="s">
        <v>28</v>
      </c>
      <c r="E10" t="s">
        <v>39</v>
      </c>
      <c r="F10" t="s">
        <v>30</v>
      </c>
      <c r="G10" t="s">
        <v>45</v>
      </c>
      <c r="H10" t="s">
        <v>40</v>
      </c>
      <c r="I10" t="s">
        <v>60</v>
      </c>
      <c r="J10" t="s">
        <v>61</v>
      </c>
      <c r="K10" t="s">
        <v>28</v>
      </c>
      <c r="L10" t="s">
        <v>28</v>
      </c>
      <c r="M10" t="s">
        <v>35</v>
      </c>
      <c r="N10" t="s">
        <v>41</v>
      </c>
      <c r="O10" t="s">
        <v>40</v>
      </c>
      <c r="P10" t="s">
        <v>47</v>
      </c>
      <c r="Q10" t="s">
        <v>48</v>
      </c>
      <c r="R10" t="s">
        <v>28</v>
      </c>
      <c r="T10">
        <v>32.19</v>
      </c>
    </row>
    <row r="11" spans="1:20" x14ac:dyDescent="0.25">
      <c r="A11" t="s">
        <v>62</v>
      </c>
      <c r="B11" t="s">
        <v>63</v>
      </c>
      <c r="C11" t="str">
        <f>_xlfn.XLOOKUP(A11,Tarefas!A:A,Tarefas!C:C)</f>
        <v>Tarefas Antigas</v>
      </c>
      <c r="D11" t="s">
        <v>28</v>
      </c>
      <c r="E11" t="s">
        <v>39</v>
      </c>
      <c r="F11" t="s">
        <v>30</v>
      </c>
      <c r="G11" t="s">
        <v>28</v>
      </c>
      <c r="H11" t="s">
        <v>40</v>
      </c>
      <c r="I11" t="s">
        <v>64</v>
      </c>
      <c r="J11" t="s">
        <v>65</v>
      </c>
      <c r="K11" t="s">
        <v>28</v>
      </c>
      <c r="L11" t="s">
        <v>28</v>
      </c>
      <c r="M11" t="s">
        <v>35</v>
      </c>
      <c r="N11" t="s">
        <v>66</v>
      </c>
      <c r="O11" t="s">
        <v>28</v>
      </c>
      <c r="P11" t="s">
        <v>67</v>
      </c>
      <c r="Q11" t="s">
        <v>68</v>
      </c>
      <c r="R11" t="s">
        <v>69</v>
      </c>
      <c r="T11">
        <v>391.93</v>
      </c>
    </row>
    <row r="12" spans="1:20" x14ac:dyDescent="0.25">
      <c r="A12" t="s">
        <v>70</v>
      </c>
      <c r="B12" t="s">
        <v>71</v>
      </c>
      <c r="C12" t="str">
        <f>_xlfn.XLOOKUP(A12,Tarefas!A:A,Tarefas!C:C)</f>
        <v>Tarefas Antigas</v>
      </c>
      <c r="D12" t="s">
        <v>28</v>
      </c>
      <c r="E12" t="s">
        <v>39</v>
      </c>
      <c r="F12" t="s">
        <v>30</v>
      </c>
      <c r="G12" t="s">
        <v>28</v>
      </c>
      <c r="H12" t="s">
        <v>40</v>
      </c>
      <c r="I12" t="s">
        <v>64</v>
      </c>
      <c r="J12" t="s">
        <v>72</v>
      </c>
      <c r="K12" t="s">
        <v>28</v>
      </c>
      <c r="L12" t="s">
        <v>28</v>
      </c>
      <c r="M12" t="s">
        <v>35</v>
      </c>
      <c r="N12" t="s">
        <v>73</v>
      </c>
      <c r="O12" t="s">
        <v>28</v>
      </c>
      <c r="P12" t="s">
        <v>28</v>
      </c>
      <c r="Q12" t="s">
        <v>28</v>
      </c>
      <c r="R12" t="s">
        <v>28</v>
      </c>
      <c r="T12">
        <v>52.13</v>
      </c>
    </row>
    <row r="13" spans="1:20" x14ac:dyDescent="0.25">
      <c r="A13" t="s">
        <v>74</v>
      </c>
      <c r="B13" t="s">
        <v>75</v>
      </c>
      <c r="C13" t="str">
        <f>_xlfn.XLOOKUP(A13,Tarefas!A:A,Tarefas!C:C)</f>
        <v>Tarefas Antigas</v>
      </c>
      <c r="D13" t="s">
        <v>28</v>
      </c>
      <c r="E13" t="s">
        <v>39</v>
      </c>
      <c r="F13" t="s">
        <v>30</v>
      </c>
      <c r="G13" t="s">
        <v>28</v>
      </c>
      <c r="H13" t="s">
        <v>40</v>
      </c>
      <c r="I13" t="s">
        <v>64</v>
      </c>
      <c r="J13" t="s">
        <v>76</v>
      </c>
      <c r="K13" t="s">
        <v>28</v>
      </c>
      <c r="L13" t="s">
        <v>28</v>
      </c>
      <c r="M13" t="s">
        <v>35</v>
      </c>
      <c r="N13" t="s">
        <v>41</v>
      </c>
      <c r="O13" t="s">
        <v>40</v>
      </c>
      <c r="P13" t="s">
        <v>28</v>
      </c>
      <c r="Q13" t="s">
        <v>28</v>
      </c>
      <c r="R13" t="s">
        <v>28</v>
      </c>
      <c r="T13">
        <v>173.06</v>
      </c>
    </row>
    <row r="14" spans="1:20" x14ac:dyDescent="0.25">
      <c r="A14" t="s">
        <v>77</v>
      </c>
      <c r="B14" t="s">
        <v>78</v>
      </c>
      <c r="C14" t="str">
        <f>_xlfn.XLOOKUP(A14,Tarefas!A:A,Tarefas!C:C)</f>
        <v>Tarefas Antigas</v>
      </c>
      <c r="D14" t="s">
        <v>28</v>
      </c>
      <c r="E14" t="s">
        <v>39</v>
      </c>
      <c r="F14" t="s">
        <v>30</v>
      </c>
      <c r="G14" t="s">
        <v>79</v>
      </c>
      <c r="H14" t="s">
        <v>40</v>
      </c>
      <c r="I14" t="s">
        <v>64</v>
      </c>
      <c r="J14" t="s">
        <v>80</v>
      </c>
      <c r="K14" t="s">
        <v>28</v>
      </c>
      <c r="L14" t="s">
        <v>28</v>
      </c>
      <c r="M14" t="s">
        <v>35</v>
      </c>
      <c r="N14" t="s">
        <v>81</v>
      </c>
      <c r="O14" t="s">
        <v>28</v>
      </c>
      <c r="P14" t="s">
        <v>67</v>
      </c>
      <c r="Q14" t="s">
        <v>82</v>
      </c>
      <c r="R14" t="s">
        <v>28</v>
      </c>
      <c r="T14">
        <v>96.29</v>
      </c>
    </row>
    <row r="15" spans="1:20" x14ac:dyDescent="0.25">
      <c r="A15" t="s">
        <v>83</v>
      </c>
      <c r="B15" t="s">
        <v>84</v>
      </c>
      <c r="C15" t="str">
        <f>_xlfn.XLOOKUP(A15,Tarefas!A:A,Tarefas!C:C)</f>
        <v>Tarefas Antigas</v>
      </c>
      <c r="D15" t="s">
        <v>28</v>
      </c>
      <c r="E15" t="s">
        <v>39</v>
      </c>
      <c r="F15" t="s">
        <v>30</v>
      </c>
      <c r="G15" t="s">
        <v>79</v>
      </c>
      <c r="H15" t="s">
        <v>28</v>
      </c>
      <c r="I15" t="s">
        <v>64</v>
      </c>
      <c r="J15" t="s">
        <v>80</v>
      </c>
      <c r="K15" t="s">
        <v>28</v>
      </c>
      <c r="L15" t="s">
        <v>28</v>
      </c>
      <c r="M15" t="s">
        <v>35</v>
      </c>
      <c r="N15" t="s">
        <v>81</v>
      </c>
      <c r="O15" t="s">
        <v>28</v>
      </c>
      <c r="P15" t="s">
        <v>28</v>
      </c>
      <c r="Q15" t="s">
        <v>28</v>
      </c>
      <c r="R15" t="s">
        <v>28</v>
      </c>
      <c r="S15" t="s">
        <v>85</v>
      </c>
      <c r="T15">
        <v>318.55</v>
      </c>
    </row>
    <row r="16" spans="1:20" x14ac:dyDescent="0.25">
      <c r="A16" t="s">
        <v>86</v>
      </c>
      <c r="B16" t="s">
        <v>87</v>
      </c>
      <c r="C16" t="str">
        <f>_xlfn.XLOOKUP(A16,Tarefas!A:A,Tarefas!C:C)</f>
        <v>Tarefas Antigas</v>
      </c>
      <c r="D16" t="s">
        <v>28</v>
      </c>
      <c r="E16" t="s">
        <v>39</v>
      </c>
      <c r="F16" t="s">
        <v>30</v>
      </c>
      <c r="G16" t="s">
        <v>88</v>
      </c>
      <c r="H16" t="s">
        <v>28</v>
      </c>
      <c r="I16" t="s">
        <v>89</v>
      </c>
      <c r="J16" t="s">
        <v>80</v>
      </c>
      <c r="K16" t="s">
        <v>28</v>
      </c>
      <c r="L16" t="s">
        <v>28</v>
      </c>
      <c r="M16" t="s">
        <v>35</v>
      </c>
      <c r="N16" t="s">
        <v>81</v>
      </c>
      <c r="O16" t="s">
        <v>28</v>
      </c>
      <c r="P16" t="s">
        <v>28</v>
      </c>
      <c r="Q16" t="s">
        <v>28</v>
      </c>
      <c r="R16" t="s">
        <v>28</v>
      </c>
      <c r="T16">
        <v>0.98</v>
      </c>
    </row>
    <row r="17" spans="1:20" x14ac:dyDescent="0.25">
      <c r="A17" t="s">
        <v>90</v>
      </c>
      <c r="B17" t="s">
        <v>91</v>
      </c>
      <c r="C17" t="str">
        <f>_xlfn.XLOOKUP(A17,Tarefas!A:A,Tarefas!C:C)</f>
        <v>Tarefas Antigas</v>
      </c>
      <c r="D17" t="s">
        <v>28</v>
      </c>
      <c r="E17" t="s">
        <v>39</v>
      </c>
      <c r="F17" t="s">
        <v>30</v>
      </c>
      <c r="G17" t="s">
        <v>28</v>
      </c>
      <c r="H17" t="s">
        <v>28</v>
      </c>
      <c r="I17" t="s">
        <v>92</v>
      </c>
      <c r="J17" t="s">
        <v>93</v>
      </c>
      <c r="K17" t="s">
        <v>28</v>
      </c>
      <c r="L17" t="s">
        <v>28</v>
      </c>
      <c r="M17" t="s">
        <v>35</v>
      </c>
      <c r="N17" t="s">
        <v>92</v>
      </c>
      <c r="O17" t="s">
        <v>28</v>
      </c>
      <c r="P17" t="s">
        <v>94</v>
      </c>
      <c r="Q17" t="s">
        <v>95</v>
      </c>
      <c r="R17" t="s">
        <v>28</v>
      </c>
      <c r="T17">
        <v>274.44</v>
      </c>
    </row>
    <row r="18" spans="1:20" x14ac:dyDescent="0.25">
      <c r="A18" t="s">
        <v>96</v>
      </c>
      <c r="B18" t="s">
        <v>97</v>
      </c>
      <c r="C18" t="str">
        <f>_xlfn.XLOOKUP(A18,Tarefas!A:A,Tarefas!C:C)</f>
        <v>Tarefas Antigas</v>
      </c>
      <c r="D18" t="s">
        <v>28</v>
      </c>
      <c r="E18" t="s">
        <v>39</v>
      </c>
      <c r="F18" t="s">
        <v>30</v>
      </c>
      <c r="G18" t="s">
        <v>79</v>
      </c>
      <c r="H18" t="s">
        <v>28</v>
      </c>
      <c r="I18" t="s">
        <v>81</v>
      </c>
      <c r="J18" t="s">
        <v>98</v>
      </c>
      <c r="K18" t="s">
        <v>28</v>
      </c>
      <c r="L18" t="s">
        <v>28</v>
      </c>
      <c r="M18" t="s">
        <v>35</v>
      </c>
      <c r="N18" t="s">
        <v>99</v>
      </c>
      <c r="O18" t="s">
        <v>28</v>
      </c>
      <c r="P18" t="s">
        <v>28</v>
      </c>
      <c r="Q18" t="s">
        <v>28</v>
      </c>
      <c r="R18" t="s">
        <v>28</v>
      </c>
      <c r="T18">
        <v>210.98</v>
      </c>
    </row>
    <row r="19" spans="1:20" x14ac:dyDescent="0.25">
      <c r="A19" t="s">
        <v>100</v>
      </c>
      <c r="B19" t="s">
        <v>101</v>
      </c>
      <c r="C19" t="str">
        <f>_xlfn.XLOOKUP(A19,Tarefas!A:A,Tarefas!C:C)</f>
        <v>Tarefas Antigas</v>
      </c>
      <c r="D19" t="s">
        <v>28</v>
      </c>
      <c r="E19" t="s">
        <v>39</v>
      </c>
      <c r="F19" t="s">
        <v>30</v>
      </c>
      <c r="G19" t="s">
        <v>79</v>
      </c>
      <c r="H19" t="s">
        <v>28</v>
      </c>
      <c r="I19" t="s">
        <v>81</v>
      </c>
      <c r="J19" t="s">
        <v>98</v>
      </c>
      <c r="K19" t="s">
        <v>28</v>
      </c>
      <c r="L19" t="s">
        <v>28</v>
      </c>
      <c r="M19" t="s">
        <v>35</v>
      </c>
      <c r="N19" t="s">
        <v>98</v>
      </c>
      <c r="O19" t="s">
        <v>28</v>
      </c>
      <c r="P19" t="s">
        <v>28</v>
      </c>
      <c r="Q19" t="s">
        <v>28</v>
      </c>
      <c r="R19" t="s">
        <v>28</v>
      </c>
      <c r="T19">
        <v>389.75</v>
      </c>
    </row>
    <row r="20" spans="1:20" x14ac:dyDescent="0.25">
      <c r="A20" t="s">
        <v>102</v>
      </c>
      <c r="B20" t="s">
        <v>103</v>
      </c>
      <c r="C20" t="str">
        <f>_xlfn.XLOOKUP(A20,Tarefas!A:A,Tarefas!C:C)</f>
        <v>Tarefas Antigas</v>
      </c>
      <c r="D20" t="s">
        <v>28</v>
      </c>
      <c r="E20" t="s">
        <v>39</v>
      </c>
      <c r="F20" t="s">
        <v>30</v>
      </c>
      <c r="G20" t="s">
        <v>79</v>
      </c>
      <c r="H20" t="s">
        <v>28</v>
      </c>
      <c r="I20" t="s">
        <v>81</v>
      </c>
      <c r="J20" t="s">
        <v>104</v>
      </c>
      <c r="K20" t="s">
        <v>28</v>
      </c>
      <c r="L20" t="s">
        <v>28</v>
      </c>
      <c r="M20" t="s">
        <v>35</v>
      </c>
      <c r="N20" t="s">
        <v>41</v>
      </c>
      <c r="O20" t="s">
        <v>40</v>
      </c>
      <c r="P20" t="s">
        <v>28</v>
      </c>
      <c r="Q20" t="s">
        <v>28</v>
      </c>
      <c r="R20" t="s">
        <v>28</v>
      </c>
      <c r="T20">
        <v>499.61</v>
      </c>
    </row>
    <row r="21" spans="1:20" x14ac:dyDescent="0.25">
      <c r="A21" t="s">
        <v>105</v>
      </c>
      <c r="B21" t="s">
        <v>106</v>
      </c>
      <c r="C21" t="str">
        <f>_xlfn.XLOOKUP(A21,Tarefas!A:A,Tarefas!C:C)</f>
        <v>Tarefas Antigas</v>
      </c>
      <c r="D21" t="s">
        <v>28</v>
      </c>
      <c r="E21" t="s">
        <v>39</v>
      </c>
      <c r="F21" t="s">
        <v>30</v>
      </c>
      <c r="G21" t="s">
        <v>28</v>
      </c>
      <c r="H21" t="s">
        <v>28</v>
      </c>
      <c r="I21" t="s">
        <v>81</v>
      </c>
      <c r="J21" t="s">
        <v>107</v>
      </c>
      <c r="K21" t="s">
        <v>28</v>
      </c>
      <c r="L21" t="s">
        <v>28</v>
      </c>
      <c r="M21" t="s">
        <v>35</v>
      </c>
      <c r="N21" t="s">
        <v>41</v>
      </c>
      <c r="O21" t="s">
        <v>40</v>
      </c>
      <c r="P21" t="s">
        <v>28</v>
      </c>
      <c r="Q21" t="s">
        <v>28</v>
      </c>
      <c r="R21" t="s">
        <v>28</v>
      </c>
      <c r="T21">
        <v>612.74</v>
      </c>
    </row>
    <row r="22" spans="1:20" x14ac:dyDescent="0.25">
      <c r="A22" t="s">
        <v>108</v>
      </c>
      <c r="B22" t="s">
        <v>109</v>
      </c>
      <c r="C22" t="str">
        <f>_xlfn.XLOOKUP(A22,Tarefas!A:A,Tarefas!C:C)</f>
        <v>Tarefas Antigas</v>
      </c>
      <c r="D22" t="s">
        <v>28</v>
      </c>
      <c r="E22" t="s">
        <v>39</v>
      </c>
      <c r="F22" t="s">
        <v>30</v>
      </c>
      <c r="G22" t="s">
        <v>28</v>
      </c>
      <c r="H22" t="s">
        <v>40</v>
      </c>
      <c r="I22" t="s">
        <v>110</v>
      </c>
      <c r="J22" t="s">
        <v>111</v>
      </c>
      <c r="K22" t="s">
        <v>28</v>
      </c>
      <c r="L22" t="s">
        <v>28</v>
      </c>
      <c r="M22" t="s">
        <v>35</v>
      </c>
      <c r="N22" t="s">
        <v>110</v>
      </c>
      <c r="O22" t="s">
        <v>40</v>
      </c>
      <c r="P22" t="s">
        <v>112</v>
      </c>
      <c r="Q22" t="s">
        <v>113</v>
      </c>
      <c r="R22" t="s">
        <v>28</v>
      </c>
      <c r="T22">
        <v>273.08</v>
      </c>
    </row>
    <row r="23" spans="1:20" x14ac:dyDescent="0.25">
      <c r="A23" t="s">
        <v>114</v>
      </c>
      <c r="B23" t="s">
        <v>115</v>
      </c>
      <c r="C23" t="str">
        <f>_xlfn.XLOOKUP(A23,Tarefas!A:A,Tarefas!C:C)</f>
        <v>Tarefas Antigas</v>
      </c>
      <c r="D23" t="s">
        <v>28</v>
      </c>
      <c r="E23" t="s">
        <v>39</v>
      </c>
      <c r="F23" t="s">
        <v>30</v>
      </c>
      <c r="G23" t="s">
        <v>28</v>
      </c>
      <c r="H23" t="s">
        <v>40</v>
      </c>
      <c r="I23" t="s">
        <v>110</v>
      </c>
      <c r="J23" t="s">
        <v>110</v>
      </c>
      <c r="K23" t="s">
        <v>28</v>
      </c>
      <c r="L23" t="s">
        <v>28</v>
      </c>
      <c r="M23" t="s">
        <v>35</v>
      </c>
      <c r="N23" t="s">
        <v>110</v>
      </c>
      <c r="O23" t="s">
        <v>40</v>
      </c>
      <c r="P23" t="s">
        <v>28</v>
      </c>
      <c r="Q23" t="s">
        <v>28</v>
      </c>
      <c r="R23" t="s">
        <v>28</v>
      </c>
      <c r="T23">
        <v>793.53</v>
      </c>
    </row>
    <row r="24" spans="1:20" x14ac:dyDescent="0.25">
      <c r="A24" t="s">
        <v>116</v>
      </c>
      <c r="B24" t="s">
        <v>117</v>
      </c>
      <c r="C24" t="str">
        <f>_xlfn.XLOOKUP(A24,Tarefas!A:A,Tarefas!C:C)</f>
        <v>Tarefas Antigas</v>
      </c>
      <c r="D24" t="s">
        <v>28</v>
      </c>
      <c r="E24" t="s">
        <v>39</v>
      </c>
      <c r="F24" t="s">
        <v>30</v>
      </c>
      <c r="G24" t="s">
        <v>28</v>
      </c>
      <c r="H24" t="s">
        <v>40</v>
      </c>
      <c r="I24" t="s">
        <v>110</v>
      </c>
      <c r="J24" t="s">
        <v>118</v>
      </c>
      <c r="K24" t="s">
        <v>28</v>
      </c>
      <c r="L24" t="s">
        <v>28</v>
      </c>
      <c r="M24" t="s">
        <v>35</v>
      </c>
      <c r="N24" t="s">
        <v>110</v>
      </c>
      <c r="O24" t="s">
        <v>40</v>
      </c>
      <c r="P24" t="s">
        <v>28</v>
      </c>
      <c r="Q24" t="s">
        <v>28</v>
      </c>
      <c r="R24" t="s">
        <v>28</v>
      </c>
      <c r="T24">
        <v>987.87</v>
      </c>
    </row>
    <row r="25" spans="1:20" x14ac:dyDescent="0.25">
      <c r="A25" t="s">
        <v>119</v>
      </c>
      <c r="B25" t="s">
        <v>120</v>
      </c>
      <c r="C25" t="str">
        <f>_xlfn.XLOOKUP(A25,Tarefas!A:A,Tarefas!C:C)</f>
        <v>MOI, MOA, MODS</v>
      </c>
      <c r="D25" t="s">
        <v>122</v>
      </c>
      <c r="E25" t="s">
        <v>123</v>
      </c>
      <c r="F25" t="s">
        <v>124</v>
      </c>
      <c r="G25" t="s">
        <v>125</v>
      </c>
      <c r="H25" t="s">
        <v>125</v>
      </c>
      <c r="I25" t="s">
        <v>41</v>
      </c>
      <c r="J25" t="s">
        <v>126</v>
      </c>
      <c r="K25" t="s">
        <v>127</v>
      </c>
      <c r="L25" t="s">
        <v>28</v>
      </c>
      <c r="M25" t="s">
        <v>128</v>
      </c>
      <c r="N25" t="s">
        <v>28</v>
      </c>
      <c r="O25" t="s">
        <v>28</v>
      </c>
      <c r="P25" t="s">
        <v>129</v>
      </c>
      <c r="Q25" t="s">
        <v>130</v>
      </c>
      <c r="R25" t="s">
        <v>131</v>
      </c>
      <c r="T25">
        <v>74.97</v>
      </c>
    </row>
    <row r="26" spans="1:20" x14ac:dyDescent="0.25">
      <c r="A26" t="s">
        <v>132</v>
      </c>
      <c r="B26" t="s">
        <v>133</v>
      </c>
      <c r="C26" t="str">
        <f>_xlfn.XLOOKUP(A26,Tarefas!A:A,Tarefas!C:C)</f>
        <v>SMED</v>
      </c>
      <c r="D26" t="s">
        <v>135</v>
      </c>
      <c r="E26" t="s">
        <v>29</v>
      </c>
      <c r="F26" t="s">
        <v>30</v>
      </c>
      <c r="G26" t="s">
        <v>136</v>
      </c>
      <c r="H26" t="s">
        <v>32</v>
      </c>
      <c r="I26" t="s">
        <v>41</v>
      </c>
      <c r="J26" t="s">
        <v>137</v>
      </c>
      <c r="K26" t="s">
        <v>138</v>
      </c>
      <c r="L26" t="s">
        <v>28</v>
      </c>
      <c r="M26" t="s">
        <v>35</v>
      </c>
      <c r="N26" t="s">
        <v>28</v>
      </c>
      <c r="O26" t="s">
        <v>28</v>
      </c>
      <c r="P26" t="s">
        <v>139</v>
      </c>
      <c r="Q26" t="s">
        <v>140</v>
      </c>
      <c r="R26" t="s">
        <v>28</v>
      </c>
      <c r="T26">
        <v>426.94</v>
      </c>
    </row>
    <row r="27" spans="1:20" x14ac:dyDescent="0.25">
      <c r="A27" t="s">
        <v>141</v>
      </c>
      <c r="B27" t="s">
        <v>142</v>
      </c>
      <c r="C27" t="str">
        <f>_xlfn.XLOOKUP(A27,Tarefas!A:A,Tarefas!C:C)</f>
        <v>Programa de Melhorias</v>
      </c>
      <c r="D27" t="s">
        <v>28</v>
      </c>
      <c r="E27" t="s">
        <v>123</v>
      </c>
      <c r="F27" t="s">
        <v>30</v>
      </c>
      <c r="G27" t="s">
        <v>144</v>
      </c>
      <c r="H27" t="s">
        <v>144</v>
      </c>
      <c r="I27" t="s">
        <v>41</v>
      </c>
      <c r="J27" t="s">
        <v>145</v>
      </c>
      <c r="K27" t="s">
        <v>28</v>
      </c>
      <c r="L27" t="s">
        <v>28</v>
      </c>
      <c r="M27" t="s">
        <v>35</v>
      </c>
      <c r="N27" t="s">
        <v>28</v>
      </c>
      <c r="O27" t="s">
        <v>28</v>
      </c>
      <c r="P27" t="s">
        <v>146</v>
      </c>
      <c r="Q27" t="s">
        <v>147</v>
      </c>
      <c r="R27" t="s">
        <v>28</v>
      </c>
      <c r="T27">
        <v>244.88</v>
      </c>
    </row>
    <row r="28" spans="1:20" x14ac:dyDescent="0.25">
      <c r="A28" t="s">
        <v>148</v>
      </c>
      <c r="B28" t="s">
        <v>149</v>
      </c>
      <c r="C28" t="str">
        <f>_xlfn.XLOOKUP(A28,Tarefas!A:A,Tarefas!C:C)</f>
        <v>MOI, MOA, MODS</v>
      </c>
      <c r="D28" t="s">
        <v>122</v>
      </c>
      <c r="E28" t="s">
        <v>123</v>
      </c>
      <c r="F28" t="s">
        <v>124</v>
      </c>
      <c r="G28" t="s">
        <v>125</v>
      </c>
      <c r="H28" t="s">
        <v>125</v>
      </c>
      <c r="I28" t="s">
        <v>41</v>
      </c>
      <c r="J28" t="s">
        <v>150</v>
      </c>
      <c r="K28" t="s">
        <v>127</v>
      </c>
      <c r="L28" t="s">
        <v>28</v>
      </c>
      <c r="M28" t="s">
        <v>128</v>
      </c>
      <c r="N28" t="s">
        <v>28</v>
      </c>
      <c r="O28" t="s">
        <v>28</v>
      </c>
      <c r="P28" t="s">
        <v>151</v>
      </c>
      <c r="Q28" t="s">
        <v>152</v>
      </c>
      <c r="R28" t="s">
        <v>131</v>
      </c>
      <c r="T28">
        <v>273.43</v>
      </c>
    </row>
    <row r="29" spans="1:20" x14ac:dyDescent="0.25">
      <c r="A29" t="s">
        <v>153</v>
      </c>
      <c r="B29" t="s">
        <v>154</v>
      </c>
      <c r="C29" t="str">
        <f>_xlfn.XLOOKUP(A29,Tarefas!A:A,Tarefas!C:C)</f>
        <v>MOI, MOA, MODS</v>
      </c>
      <c r="D29" t="s">
        <v>122</v>
      </c>
      <c r="E29" t="s">
        <v>29</v>
      </c>
      <c r="F29" t="s">
        <v>124</v>
      </c>
      <c r="G29" t="s">
        <v>28</v>
      </c>
      <c r="H29" t="s">
        <v>125</v>
      </c>
      <c r="I29" t="s">
        <v>41</v>
      </c>
      <c r="J29" t="s">
        <v>28</v>
      </c>
      <c r="K29" t="s">
        <v>28</v>
      </c>
      <c r="L29" t="s">
        <v>28</v>
      </c>
      <c r="M29" t="s">
        <v>35</v>
      </c>
      <c r="N29" t="s">
        <v>28</v>
      </c>
      <c r="O29" t="s">
        <v>28</v>
      </c>
      <c r="P29" t="s">
        <v>155</v>
      </c>
      <c r="Q29" t="s">
        <v>156</v>
      </c>
      <c r="R29" t="s">
        <v>131</v>
      </c>
      <c r="T29">
        <v>719.5</v>
      </c>
    </row>
    <row r="30" spans="1:20" x14ac:dyDescent="0.25">
      <c r="A30" t="s">
        <v>157</v>
      </c>
      <c r="B30" t="s">
        <v>158</v>
      </c>
      <c r="C30" t="str">
        <f>_xlfn.XLOOKUP(A30,Tarefas!A:A,Tarefas!C:C)</f>
        <v>SMED</v>
      </c>
      <c r="D30" t="s">
        <v>135</v>
      </c>
      <c r="E30" t="s">
        <v>29</v>
      </c>
      <c r="F30" t="s">
        <v>30</v>
      </c>
      <c r="G30" t="s">
        <v>136</v>
      </c>
      <c r="H30" t="s">
        <v>32</v>
      </c>
      <c r="I30" t="s">
        <v>41</v>
      </c>
      <c r="J30" t="s">
        <v>159</v>
      </c>
      <c r="K30" t="s">
        <v>28</v>
      </c>
      <c r="L30" t="s">
        <v>28</v>
      </c>
      <c r="M30" t="s">
        <v>35</v>
      </c>
      <c r="N30" t="s">
        <v>28</v>
      </c>
      <c r="O30" t="s">
        <v>28</v>
      </c>
      <c r="P30" t="s">
        <v>160</v>
      </c>
      <c r="Q30" t="s">
        <v>161</v>
      </c>
      <c r="R30" t="s">
        <v>28</v>
      </c>
      <c r="T30">
        <v>732.63</v>
      </c>
    </row>
    <row r="31" spans="1:20" x14ac:dyDescent="0.25">
      <c r="A31" t="s">
        <v>162</v>
      </c>
      <c r="B31" t="s">
        <v>163</v>
      </c>
      <c r="C31" t="str">
        <f>_xlfn.XLOOKUP(A31,Tarefas!A:A,Tarefas!C:C)</f>
        <v>MOI, MOA, MODS</v>
      </c>
      <c r="D31" t="s">
        <v>122</v>
      </c>
      <c r="E31" t="s">
        <v>123</v>
      </c>
      <c r="F31" t="s">
        <v>124</v>
      </c>
      <c r="G31" t="s">
        <v>164</v>
      </c>
      <c r="H31" t="s">
        <v>125</v>
      </c>
      <c r="I31" t="s">
        <v>41</v>
      </c>
      <c r="J31" t="s">
        <v>28</v>
      </c>
      <c r="K31" t="s">
        <v>165</v>
      </c>
      <c r="L31" t="s">
        <v>28</v>
      </c>
      <c r="M31" t="s">
        <v>35</v>
      </c>
      <c r="N31" t="s">
        <v>28</v>
      </c>
      <c r="O31" t="s">
        <v>28</v>
      </c>
      <c r="P31" t="s">
        <v>166</v>
      </c>
      <c r="Q31" t="s">
        <v>167</v>
      </c>
      <c r="R31" t="s">
        <v>28</v>
      </c>
      <c r="S31" t="s">
        <v>168</v>
      </c>
      <c r="T31">
        <v>451.23</v>
      </c>
    </row>
    <row r="32" spans="1:20" x14ac:dyDescent="0.25">
      <c r="A32" t="s">
        <v>169</v>
      </c>
      <c r="B32" t="s">
        <v>170</v>
      </c>
      <c r="C32" t="str">
        <f>_xlfn.XLOOKUP(A32,Tarefas!A:A,Tarefas!C:C)</f>
        <v>Programa de Melhorias</v>
      </c>
      <c r="D32" t="s">
        <v>171</v>
      </c>
      <c r="E32" t="s">
        <v>39</v>
      </c>
      <c r="F32" t="s">
        <v>30</v>
      </c>
      <c r="G32" t="s">
        <v>144</v>
      </c>
      <c r="H32" t="s">
        <v>144</v>
      </c>
      <c r="I32" t="s">
        <v>41</v>
      </c>
      <c r="J32" t="s">
        <v>150</v>
      </c>
      <c r="K32" t="s">
        <v>28</v>
      </c>
      <c r="L32" t="s">
        <v>28</v>
      </c>
      <c r="M32" t="s">
        <v>35</v>
      </c>
      <c r="N32" t="s">
        <v>126</v>
      </c>
      <c r="O32" t="s">
        <v>144</v>
      </c>
      <c r="P32" t="s">
        <v>172</v>
      </c>
      <c r="Q32" t="s">
        <v>173</v>
      </c>
      <c r="R32" t="s">
        <v>28</v>
      </c>
      <c r="S32" t="s">
        <v>174</v>
      </c>
      <c r="T32">
        <v>475.39</v>
      </c>
    </row>
    <row r="33" spans="1:20" x14ac:dyDescent="0.25">
      <c r="A33" t="s">
        <v>175</v>
      </c>
      <c r="B33" t="s">
        <v>176</v>
      </c>
      <c r="C33" t="str">
        <f>_xlfn.XLOOKUP(A33,Tarefas!A:A,Tarefas!C:C)</f>
        <v>Padronizações/Certificações</v>
      </c>
      <c r="D33" t="s">
        <v>28</v>
      </c>
      <c r="E33" t="s">
        <v>29</v>
      </c>
      <c r="F33" t="s">
        <v>30</v>
      </c>
      <c r="G33" t="s">
        <v>144</v>
      </c>
      <c r="H33" t="s">
        <v>144</v>
      </c>
      <c r="I33" t="s">
        <v>41</v>
      </c>
      <c r="J33" t="s">
        <v>137</v>
      </c>
      <c r="K33" t="s">
        <v>28</v>
      </c>
      <c r="L33" t="s">
        <v>28</v>
      </c>
      <c r="M33" t="s">
        <v>35</v>
      </c>
      <c r="N33" t="s">
        <v>28</v>
      </c>
      <c r="O33" t="s">
        <v>28</v>
      </c>
      <c r="P33" t="s">
        <v>178</v>
      </c>
      <c r="Q33" t="s">
        <v>179</v>
      </c>
      <c r="R33" t="s">
        <v>28</v>
      </c>
      <c r="T33">
        <v>396.3</v>
      </c>
    </row>
    <row r="34" spans="1:20" x14ac:dyDescent="0.25">
      <c r="A34" t="s">
        <v>180</v>
      </c>
      <c r="B34" t="s">
        <v>181</v>
      </c>
      <c r="C34" t="str">
        <f>_xlfn.XLOOKUP(A34,Tarefas!A:A,Tarefas!C:C)</f>
        <v>Padronizações/Certificações</v>
      </c>
      <c r="D34" t="s">
        <v>28</v>
      </c>
      <c r="E34" t="s">
        <v>29</v>
      </c>
      <c r="F34" t="s">
        <v>30</v>
      </c>
      <c r="G34" t="s">
        <v>28</v>
      </c>
      <c r="H34" t="s">
        <v>144</v>
      </c>
      <c r="I34" t="s">
        <v>41</v>
      </c>
      <c r="J34" t="s">
        <v>28</v>
      </c>
      <c r="K34" t="s">
        <v>28</v>
      </c>
      <c r="L34" t="s">
        <v>28</v>
      </c>
      <c r="M34" t="s">
        <v>35</v>
      </c>
      <c r="N34" t="s">
        <v>28</v>
      </c>
      <c r="O34" t="s">
        <v>28</v>
      </c>
      <c r="P34" t="s">
        <v>28</v>
      </c>
      <c r="Q34" t="s">
        <v>28</v>
      </c>
      <c r="R34" t="s">
        <v>28</v>
      </c>
      <c r="T34">
        <v>102.4</v>
      </c>
    </row>
    <row r="35" spans="1:20" x14ac:dyDescent="0.25">
      <c r="A35" t="s">
        <v>182</v>
      </c>
      <c r="B35" t="s">
        <v>183</v>
      </c>
      <c r="C35" t="str">
        <f>_xlfn.XLOOKUP(A35,Tarefas!A:A,Tarefas!C:C)</f>
        <v>Padronizações/Certificações</v>
      </c>
      <c r="D35" t="s">
        <v>28</v>
      </c>
      <c r="E35" t="s">
        <v>29</v>
      </c>
      <c r="F35" t="s">
        <v>30</v>
      </c>
      <c r="G35" t="s">
        <v>28</v>
      </c>
      <c r="H35" t="s">
        <v>144</v>
      </c>
      <c r="I35" t="s">
        <v>41</v>
      </c>
      <c r="J35" t="s">
        <v>28</v>
      </c>
      <c r="K35" t="s">
        <v>28</v>
      </c>
      <c r="L35" t="s">
        <v>28</v>
      </c>
      <c r="M35" t="s">
        <v>35</v>
      </c>
      <c r="N35" t="s">
        <v>28</v>
      </c>
      <c r="O35" t="s">
        <v>28</v>
      </c>
      <c r="P35" t="s">
        <v>28</v>
      </c>
      <c r="Q35" t="s">
        <v>28</v>
      </c>
      <c r="R35" t="s">
        <v>28</v>
      </c>
      <c r="T35">
        <v>960.52</v>
      </c>
    </row>
    <row r="36" spans="1:20" x14ac:dyDescent="0.25">
      <c r="A36" t="s">
        <v>184</v>
      </c>
      <c r="B36" t="s">
        <v>185</v>
      </c>
      <c r="C36" t="str">
        <f>_xlfn.XLOOKUP(A36,Tarefas!A:A,Tarefas!C:C)</f>
        <v>Programa de Melhorias</v>
      </c>
      <c r="D36" t="s">
        <v>28</v>
      </c>
      <c r="E36" t="s">
        <v>123</v>
      </c>
      <c r="F36" t="s">
        <v>30</v>
      </c>
      <c r="G36" t="s">
        <v>186</v>
      </c>
      <c r="H36" t="s">
        <v>144</v>
      </c>
      <c r="I36" t="s">
        <v>41</v>
      </c>
      <c r="J36" t="s">
        <v>187</v>
      </c>
      <c r="K36" t="s">
        <v>28</v>
      </c>
      <c r="L36" t="s">
        <v>28</v>
      </c>
      <c r="M36" t="s">
        <v>128</v>
      </c>
      <c r="N36" t="s">
        <v>28</v>
      </c>
      <c r="O36" t="s">
        <v>28</v>
      </c>
      <c r="P36" t="s">
        <v>188</v>
      </c>
      <c r="Q36" t="s">
        <v>189</v>
      </c>
      <c r="R36" t="s">
        <v>28</v>
      </c>
      <c r="T36">
        <v>503.93</v>
      </c>
    </row>
    <row r="37" spans="1:20" x14ac:dyDescent="0.25">
      <c r="A37" t="s">
        <v>190</v>
      </c>
      <c r="B37" t="s">
        <v>191</v>
      </c>
      <c r="C37" t="str">
        <f>_xlfn.XLOOKUP(A37,Tarefas!A:A,Tarefas!C:C)</f>
        <v>MTM/Impressão 3D</v>
      </c>
      <c r="D37" t="s">
        <v>28</v>
      </c>
      <c r="E37" t="s">
        <v>39</v>
      </c>
      <c r="F37" t="s">
        <v>30</v>
      </c>
      <c r="G37" t="s">
        <v>193</v>
      </c>
      <c r="H37" t="s">
        <v>193</v>
      </c>
      <c r="I37" t="s">
        <v>41</v>
      </c>
      <c r="J37" t="s">
        <v>126</v>
      </c>
      <c r="K37" t="s">
        <v>138</v>
      </c>
      <c r="L37" t="s">
        <v>28</v>
      </c>
      <c r="M37" t="s">
        <v>35</v>
      </c>
      <c r="N37" t="s">
        <v>194</v>
      </c>
      <c r="O37" t="s">
        <v>193</v>
      </c>
      <c r="P37" t="s">
        <v>28</v>
      </c>
      <c r="Q37" t="s">
        <v>28</v>
      </c>
      <c r="R37" t="s">
        <v>28</v>
      </c>
      <c r="T37">
        <v>618.85</v>
      </c>
    </row>
    <row r="38" spans="1:20" x14ac:dyDescent="0.25">
      <c r="A38" t="s">
        <v>195</v>
      </c>
      <c r="B38" t="s">
        <v>196</v>
      </c>
      <c r="C38" t="str">
        <f>_xlfn.XLOOKUP(A38,Tarefas!A:A,Tarefas!C:C)</f>
        <v>Padronizações/Certificações</v>
      </c>
      <c r="D38" t="s">
        <v>28</v>
      </c>
      <c r="E38" t="s">
        <v>29</v>
      </c>
      <c r="F38" t="s">
        <v>30</v>
      </c>
      <c r="G38" t="s">
        <v>193</v>
      </c>
      <c r="H38" t="s">
        <v>193</v>
      </c>
      <c r="I38" t="s">
        <v>41</v>
      </c>
      <c r="J38" t="s">
        <v>126</v>
      </c>
      <c r="K38" t="s">
        <v>138</v>
      </c>
      <c r="L38" t="s">
        <v>28</v>
      </c>
      <c r="M38" t="s">
        <v>128</v>
      </c>
      <c r="N38" t="s">
        <v>28</v>
      </c>
      <c r="O38" t="s">
        <v>28</v>
      </c>
      <c r="P38" t="s">
        <v>28</v>
      </c>
      <c r="Q38" t="s">
        <v>28</v>
      </c>
      <c r="R38" t="s">
        <v>28</v>
      </c>
      <c r="T38">
        <v>194.13</v>
      </c>
    </row>
    <row r="39" spans="1:20" x14ac:dyDescent="0.25">
      <c r="A39" t="s">
        <v>197</v>
      </c>
      <c r="B39" t="s">
        <v>198</v>
      </c>
      <c r="C39" t="str">
        <f>_xlfn.XLOOKUP(A39,Tarefas!A:A,Tarefas!C:C)</f>
        <v>RPA</v>
      </c>
      <c r="D39" t="s">
        <v>28</v>
      </c>
      <c r="E39" t="s">
        <v>39</v>
      </c>
      <c r="F39" t="s">
        <v>200</v>
      </c>
      <c r="G39" t="s">
        <v>201</v>
      </c>
      <c r="H39" t="s">
        <v>201</v>
      </c>
      <c r="I39" t="s">
        <v>41</v>
      </c>
      <c r="J39" t="s">
        <v>126</v>
      </c>
      <c r="K39" t="s">
        <v>202</v>
      </c>
      <c r="L39" t="s">
        <v>28</v>
      </c>
      <c r="M39" t="s">
        <v>35</v>
      </c>
      <c r="N39" t="s">
        <v>203</v>
      </c>
      <c r="O39" t="s">
        <v>201</v>
      </c>
      <c r="P39" t="s">
        <v>112</v>
      </c>
      <c r="Q39" t="s">
        <v>204</v>
      </c>
      <c r="R39" t="s">
        <v>28</v>
      </c>
      <c r="T39">
        <v>505.12</v>
      </c>
    </row>
    <row r="40" spans="1:20" x14ac:dyDescent="0.25">
      <c r="A40" t="s">
        <v>205</v>
      </c>
      <c r="B40" t="s">
        <v>206</v>
      </c>
      <c r="C40" t="str">
        <f>_xlfn.XLOOKUP(A40,Tarefas!A:A,Tarefas!C:C)</f>
        <v>SMED</v>
      </c>
      <c r="D40" t="s">
        <v>122</v>
      </c>
      <c r="E40" t="s">
        <v>123</v>
      </c>
      <c r="F40" t="s">
        <v>124</v>
      </c>
      <c r="G40" t="s">
        <v>32</v>
      </c>
      <c r="H40" t="s">
        <v>28</v>
      </c>
      <c r="I40" t="s">
        <v>207</v>
      </c>
      <c r="J40" t="s">
        <v>137</v>
      </c>
      <c r="K40" t="s">
        <v>28</v>
      </c>
      <c r="L40" t="s">
        <v>28</v>
      </c>
      <c r="M40" t="s">
        <v>35</v>
      </c>
      <c r="N40" t="s">
        <v>28</v>
      </c>
      <c r="O40" t="s">
        <v>28</v>
      </c>
      <c r="P40" t="s">
        <v>208</v>
      </c>
      <c r="Q40" t="s">
        <v>209</v>
      </c>
      <c r="R40" t="s">
        <v>28</v>
      </c>
      <c r="T40">
        <v>107.76</v>
      </c>
    </row>
    <row r="41" spans="1:20" x14ac:dyDescent="0.25">
      <c r="A41" t="s">
        <v>210</v>
      </c>
      <c r="B41" t="s">
        <v>211</v>
      </c>
      <c r="C41" t="str">
        <f>_xlfn.XLOOKUP(A41,Tarefas!A:A,Tarefas!C:C)</f>
        <v>Programa de Melhorias</v>
      </c>
      <c r="D41" t="s">
        <v>28</v>
      </c>
      <c r="E41" t="s">
        <v>29</v>
      </c>
      <c r="F41" t="s">
        <v>30</v>
      </c>
      <c r="G41" t="s">
        <v>144</v>
      </c>
      <c r="H41" t="s">
        <v>144</v>
      </c>
      <c r="I41" t="s">
        <v>207</v>
      </c>
      <c r="J41" t="s">
        <v>145</v>
      </c>
      <c r="K41" t="s">
        <v>212</v>
      </c>
      <c r="L41" t="s">
        <v>28</v>
      </c>
      <c r="M41" t="s">
        <v>35</v>
      </c>
      <c r="N41" t="s">
        <v>28</v>
      </c>
      <c r="O41" t="s">
        <v>28</v>
      </c>
      <c r="P41" t="s">
        <v>28</v>
      </c>
      <c r="Q41" t="s">
        <v>28</v>
      </c>
      <c r="R41" t="s">
        <v>28</v>
      </c>
      <c r="S41" t="s">
        <v>213</v>
      </c>
      <c r="T41">
        <v>87.21</v>
      </c>
    </row>
    <row r="42" spans="1:20" x14ac:dyDescent="0.25">
      <c r="A42" t="s">
        <v>214</v>
      </c>
      <c r="B42" t="s">
        <v>215</v>
      </c>
      <c r="C42" t="str">
        <f>_xlfn.XLOOKUP(A42,Tarefas!A:A,Tarefas!C:C)</f>
        <v>Programa de Melhorias</v>
      </c>
      <c r="D42" t="s">
        <v>28</v>
      </c>
      <c r="E42" t="s">
        <v>29</v>
      </c>
      <c r="F42" t="s">
        <v>30</v>
      </c>
      <c r="G42" t="s">
        <v>144</v>
      </c>
      <c r="H42" t="s">
        <v>40</v>
      </c>
      <c r="I42" t="s">
        <v>216</v>
      </c>
      <c r="J42" t="s">
        <v>217</v>
      </c>
      <c r="K42" t="s">
        <v>218</v>
      </c>
      <c r="L42" t="s">
        <v>28</v>
      </c>
      <c r="M42" t="s">
        <v>35</v>
      </c>
      <c r="N42" t="s">
        <v>28</v>
      </c>
      <c r="O42" t="s">
        <v>28</v>
      </c>
      <c r="P42" t="s">
        <v>28</v>
      </c>
      <c r="Q42" t="s">
        <v>28</v>
      </c>
      <c r="R42" t="s">
        <v>28</v>
      </c>
      <c r="T42">
        <v>511.17</v>
      </c>
    </row>
    <row r="43" spans="1:20" x14ac:dyDescent="0.25">
      <c r="A43" t="s">
        <v>219</v>
      </c>
      <c r="B43" t="s">
        <v>215</v>
      </c>
      <c r="C43" t="str">
        <f>_xlfn.XLOOKUP(A43,Tarefas!A:A,Tarefas!C:C)</f>
        <v>Programa de Melhorias</v>
      </c>
      <c r="D43" t="s">
        <v>28</v>
      </c>
      <c r="E43" t="s">
        <v>39</v>
      </c>
      <c r="F43" t="s">
        <v>30</v>
      </c>
      <c r="G43" t="s">
        <v>144</v>
      </c>
      <c r="H43" t="s">
        <v>40</v>
      </c>
      <c r="I43" t="s">
        <v>216</v>
      </c>
      <c r="J43" t="s">
        <v>220</v>
      </c>
      <c r="K43" t="s">
        <v>33</v>
      </c>
      <c r="L43" t="s">
        <v>28</v>
      </c>
      <c r="M43" t="s">
        <v>35</v>
      </c>
      <c r="N43" t="s">
        <v>216</v>
      </c>
      <c r="O43" t="s">
        <v>40</v>
      </c>
      <c r="P43" t="s">
        <v>28</v>
      </c>
      <c r="Q43" t="s">
        <v>28</v>
      </c>
      <c r="R43" t="s">
        <v>28</v>
      </c>
      <c r="T43">
        <v>939.14</v>
      </c>
    </row>
    <row r="44" spans="1:20" x14ac:dyDescent="0.25">
      <c r="A44" t="s">
        <v>221</v>
      </c>
      <c r="B44" t="s">
        <v>215</v>
      </c>
      <c r="C44" t="str">
        <f>_xlfn.XLOOKUP(A44,Tarefas!A:A,Tarefas!C:C)</f>
        <v>Programa de Melhorias</v>
      </c>
      <c r="D44" t="s">
        <v>28</v>
      </c>
      <c r="E44" t="s">
        <v>39</v>
      </c>
      <c r="F44" t="s">
        <v>30</v>
      </c>
      <c r="G44" t="s">
        <v>144</v>
      </c>
      <c r="H44" t="s">
        <v>144</v>
      </c>
      <c r="I44" t="s">
        <v>203</v>
      </c>
      <c r="J44" t="s">
        <v>33</v>
      </c>
      <c r="K44" t="s">
        <v>212</v>
      </c>
      <c r="L44" t="s">
        <v>28</v>
      </c>
      <c r="M44" t="s">
        <v>35</v>
      </c>
      <c r="N44" t="s">
        <v>216</v>
      </c>
      <c r="O44" t="s">
        <v>40</v>
      </c>
      <c r="P44" t="s">
        <v>28</v>
      </c>
      <c r="Q44" t="s">
        <v>28</v>
      </c>
      <c r="R44" t="s">
        <v>28</v>
      </c>
      <c r="T44">
        <v>204.8</v>
      </c>
    </row>
    <row r="45" spans="1:20" x14ac:dyDescent="0.25">
      <c r="A45" t="s">
        <v>222</v>
      </c>
      <c r="B45" t="s">
        <v>215</v>
      </c>
      <c r="C45" t="str">
        <f>_xlfn.XLOOKUP(A45,Tarefas!A:A,Tarefas!C:C)</f>
        <v>Programa de Melhorias</v>
      </c>
      <c r="D45" t="s">
        <v>28</v>
      </c>
      <c r="E45" t="s">
        <v>39</v>
      </c>
      <c r="F45" t="s">
        <v>30</v>
      </c>
      <c r="G45" t="s">
        <v>144</v>
      </c>
      <c r="H45" t="s">
        <v>144</v>
      </c>
      <c r="I45" t="s">
        <v>207</v>
      </c>
      <c r="J45" t="s">
        <v>223</v>
      </c>
      <c r="K45" t="s">
        <v>41</v>
      </c>
      <c r="L45" t="s">
        <v>28</v>
      </c>
      <c r="M45" t="s">
        <v>35</v>
      </c>
      <c r="N45" t="s">
        <v>150</v>
      </c>
      <c r="O45" t="s">
        <v>144</v>
      </c>
      <c r="P45" t="s">
        <v>28</v>
      </c>
      <c r="Q45" t="s">
        <v>28</v>
      </c>
      <c r="R45" t="s">
        <v>28</v>
      </c>
      <c r="T45">
        <v>805.18</v>
      </c>
    </row>
    <row r="46" spans="1:20" x14ac:dyDescent="0.25">
      <c r="A46" t="s">
        <v>224</v>
      </c>
      <c r="B46" t="s">
        <v>225</v>
      </c>
      <c r="C46" t="str">
        <f>_xlfn.XLOOKUP(A46,Tarefas!A:A,Tarefas!C:C)</f>
        <v>MTM/Impressão 3D</v>
      </c>
      <c r="D46" t="s">
        <v>28</v>
      </c>
      <c r="E46" t="s">
        <v>39</v>
      </c>
      <c r="F46" t="s">
        <v>30</v>
      </c>
      <c r="G46" t="s">
        <v>193</v>
      </c>
      <c r="H46" t="s">
        <v>193</v>
      </c>
      <c r="I46" t="s">
        <v>207</v>
      </c>
      <c r="J46" t="s">
        <v>126</v>
      </c>
      <c r="K46" t="s">
        <v>138</v>
      </c>
      <c r="L46" t="s">
        <v>28</v>
      </c>
      <c r="M46" t="s">
        <v>35</v>
      </c>
      <c r="N46" t="s">
        <v>194</v>
      </c>
      <c r="O46" t="s">
        <v>193</v>
      </c>
      <c r="P46" t="s">
        <v>28</v>
      </c>
      <c r="Q46" t="s">
        <v>28</v>
      </c>
      <c r="R46" t="s">
        <v>28</v>
      </c>
      <c r="T46">
        <v>100.58</v>
      </c>
    </row>
    <row r="47" spans="1:20" x14ac:dyDescent="0.25">
      <c r="A47" t="s">
        <v>226</v>
      </c>
      <c r="B47" t="s">
        <v>227</v>
      </c>
      <c r="C47" t="str">
        <f>_xlfn.XLOOKUP(A47,Tarefas!A:A,Tarefas!C:C)</f>
        <v>Padronizações/Certificações</v>
      </c>
      <c r="D47" t="s">
        <v>28</v>
      </c>
      <c r="E47" t="s">
        <v>29</v>
      </c>
      <c r="F47" t="s">
        <v>30</v>
      </c>
      <c r="G47" t="s">
        <v>193</v>
      </c>
      <c r="H47" t="s">
        <v>193</v>
      </c>
      <c r="I47" t="s">
        <v>207</v>
      </c>
      <c r="J47" t="s">
        <v>145</v>
      </c>
      <c r="K47" t="s">
        <v>138</v>
      </c>
      <c r="L47" t="s">
        <v>28</v>
      </c>
      <c r="M47" t="s">
        <v>35</v>
      </c>
      <c r="N47" t="s">
        <v>28</v>
      </c>
      <c r="O47" t="s">
        <v>28</v>
      </c>
      <c r="P47" t="s">
        <v>28</v>
      </c>
      <c r="Q47" t="s">
        <v>28</v>
      </c>
      <c r="R47" t="s">
        <v>28</v>
      </c>
      <c r="T47">
        <v>588.29999999999995</v>
      </c>
    </row>
    <row r="48" spans="1:20" x14ac:dyDescent="0.25">
      <c r="A48" t="s">
        <v>228</v>
      </c>
      <c r="B48" t="s">
        <v>229</v>
      </c>
      <c r="C48" t="str">
        <f>_xlfn.XLOOKUP(A48,Tarefas!A:A,Tarefas!C:C)</f>
        <v>Padronizações/Certificações</v>
      </c>
      <c r="D48" t="s">
        <v>28</v>
      </c>
      <c r="E48" t="s">
        <v>29</v>
      </c>
      <c r="F48" t="s">
        <v>30</v>
      </c>
      <c r="G48" t="s">
        <v>193</v>
      </c>
      <c r="H48" t="s">
        <v>193</v>
      </c>
      <c r="I48" t="s">
        <v>207</v>
      </c>
      <c r="J48" t="s">
        <v>230</v>
      </c>
      <c r="K48" t="s">
        <v>138</v>
      </c>
      <c r="L48" t="s">
        <v>28</v>
      </c>
      <c r="M48" t="s">
        <v>35</v>
      </c>
      <c r="N48" t="s">
        <v>28</v>
      </c>
      <c r="O48" t="s">
        <v>28</v>
      </c>
      <c r="P48" t="s">
        <v>231</v>
      </c>
      <c r="Q48" t="s">
        <v>232</v>
      </c>
      <c r="R48" t="s">
        <v>28</v>
      </c>
      <c r="T48">
        <v>535.16</v>
      </c>
    </row>
    <row r="49" spans="1:20" x14ac:dyDescent="0.25">
      <c r="A49" t="s">
        <v>233</v>
      </c>
      <c r="B49" t="s">
        <v>234</v>
      </c>
      <c r="C49" t="str">
        <f>_xlfn.XLOOKUP(A49,Tarefas!A:A,Tarefas!C:C)</f>
        <v>MOI, MOA, MODS</v>
      </c>
      <c r="D49" t="s">
        <v>122</v>
      </c>
      <c r="E49" t="s">
        <v>29</v>
      </c>
      <c r="F49" t="s">
        <v>30</v>
      </c>
      <c r="G49" t="s">
        <v>235</v>
      </c>
      <c r="H49" t="s">
        <v>235</v>
      </c>
      <c r="I49" t="s">
        <v>207</v>
      </c>
      <c r="J49" t="s">
        <v>216</v>
      </c>
      <c r="K49" t="s">
        <v>28</v>
      </c>
      <c r="L49" t="s">
        <v>28</v>
      </c>
      <c r="M49" t="s">
        <v>128</v>
      </c>
      <c r="N49" t="s">
        <v>28</v>
      </c>
      <c r="O49" t="s">
        <v>28</v>
      </c>
      <c r="P49" t="s">
        <v>236</v>
      </c>
      <c r="Q49" t="s">
        <v>237</v>
      </c>
      <c r="R49" t="s">
        <v>28</v>
      </c>
      <c r="T49">
        <v>432.77</v>
      </c>
    </row>
    <row r="50" spans="1:20" x14ac:dyDescent="0.25">
      <c r="A50" t="s">
        <v>238</v>
      </c>
      <c r="B50" t="s">
        <v>239</v>
      </c>
      <c r="C50" t="str">
        <f>_xlfn.XLOOKUP(A50,Tarefas!A:A,Tarefas!C:C)</f>
        <v>MTM/Impressão 3D</v>
      </c>
      <c r="D50" t="s">
        <v>28</v>
      </c>
      <c r="E50" t="s">
        <v>39</v>
      </c>
      <c r="F50" t="s">
        <v>30</v>
      </c>
      <c r="G50" t="s">
        <v>193</v>
      </c>
      <c r="H50" t="s">
        <v>193</v>
      </c>
      <c r="I50" t="s">
        <v>207</v>
      </c>
      <c r="J50" t="s">
        <v>223</v>
      </c>
      <c r="K50" t="s">
        <v>138</v>
      </c>
      <c r="L50" t="s">
        <v>28</v>
      </c>
      <c r="M50" t="s">
        <v>35</v>
      </c>
      <c r="N50" t="s">
        <v>203</v>
      </c>
      <c r="O50" t="s">
        <v>193</v>
      </c>
      <c r="P50" t="s">
        <v>28</v>
      </c>
      <c r="Q50" t="s">
        <v>28</v>
      </c>
      <c r="R50" t="s">
        <v>28</v>
      </c>
      <c r="T50">
        <v>463.31</v>
      </c>
    </row>
    <row r="51" spans="1:20" x14ac:dyDescent="0.25">
      <c r="A51" t="s">
        <v>240</v>
      </c>
      <c r="B51" t="s">
        <v>241</v>
      </c>
      <c r="C51" t="str">
        <f>_xlfn.XLOOKUP(A51,Tarefas!A:A,Tarefas!C:C)</f>
        <v>Padronizações/Certificações</v>
      </c>
      <c r="D51" t="s">
        <v>28</v>
      </c>
      <c r="E51" t="s">
        <v>123</v>
      </c>
      <c r="F51" t="s">
        <v>124</v>
      </c>
      <c r="G51" t="s">
        <v>193</v>
      </c>
      <c r="H51" t="s">
        <v>193</v>
      </c>
      <c r="I51" t="s">
        <v>138</v>
      </c>
      <c r="J51" t="s">
        <v>145</v>
      </c>
      <c r="K51" t="s">
        <v>138</v>
      </c>
      <c r="L51" t="s">
        <v>28</v>
      </c>
      <c r="M51" t="s">
        <v>35</v>
      </c>
      <c r="N51" t="s">
        <v>28</v>
      </c>
      <c r="O51" t="s">
        <v>28</v>
      </c>
      <c r="P51" t="s">
        <v>28</v>
      </c>
      <c r="Q51" t="s">
        <v>28</v>
      </c>
      <c r="R51" t="s">
        <v>28</v>
      </c>
      <c r="T51">
        <v>438.74</v>
      </c>
    </row>
    <row r="52" spans="1:20" x14ac:dyDescent="0.25">
      <c r="A52" t="s">
        <v>242</v>
      </c>
      <c r="B52" t="s">
        <v>243</v>
      </c>
      <c r="C52" t="str">
        <f>_xlfn.XLOOKUP(A52,Tarefas!A:A,Tarefas!C:C)</f>
        <v>MOI, MOA, MODS</v>
      </c>
      <c r="D52" t="s">
        <v>122</v>
      </c>
      <c r="E52" t="s">
        <v>29</v>
      </c>
      <c r="F52" t="s">
        <v>30</v>
      </c>
      <c r="G52" t="s">
        <v>28</v>
      </c>
      <c r="H52" t="s">
        <v>40</v>
      </c>
      <c r="I52" t="s">
        <v>138</v>
      </c>
      <c r="J52" t="s">
        <v>28</v>
      </c>
      <c r="K52" t="s">
        <v>28</v>
      </c>
      <c r="L52" t="s">
        <v>28</v>
      </c>
      <c r="M52" t="s">
        <v>35</v>
      </c>
      <c r="N52" t="s">
        <v>28</v>
      </c>
      <c r="O52" t="s">
        <v>28</v>
      </c>
      <c r="P52" t="s">
        <v>178</v>
      </c>
      <c r="Q52" t="s">
        <v>244</v>
      </c>
      <c r="R52" t="s">
        <v>28</v>
      </c>
      <c r="T52">
        <v>815.71</v>
      </c>
    </row>
    <row r="53" spans="1:20" x14ac:dyDescent="0.25">
      <c r="A53" t="s">
        <v>245</v>
      </c>
      <c r="B53" t="s">
        <v>246</v>
      </c>
      <c r="C53" t="str">
        <f>_xlfn.XLOOKUP(A53,Tarefas!A:A,Tarefas!C:C)</f>
        <v>MOI, MOA, MODS</v>
      </c>
      <c r="D53" t="s">
        <v>122</v>
      </c>
      <c r="E53" t="s">
        <v>29</v>
      </c>
      <c r="F53" t="s">
        <v>30</v>
      </c>
      <c r="G53" t="s">
        <v>235</v>
      </c>
      <c r="H53" t="s">
        <v>40</v>
      </c>
      <c r="I53" t="s">
        <v>138</v>
      </c>
      <c r="J53" t="s">
        <v>28</v>
      </c>
      <c r="K53" t="s">
        <v>28</v>
      </c>
      <c r="L53" t="s">
        <v>28</v>
      </c>
      <c r="M53" t="s">
        <v>35</v>
      </c>
      <c r="N53" t="s">
        <v>28</v>
      </c>
      <c r="O53" t="s">
        <v>28</v>
      </c>
      <c r="P53" t="s">
        <v>178</v>
      </c>
      <c r="Q53" t="s">
        <v>244</v>
      </c>
      <c r="R53" t="s">
        <v>28</v>
      </c>
      <c r="T53">
        <v>312.45</v>
      </c>
    </row>
    <row r="54" spans="1:20" x14ac:dyDescent="0.25">
      <c r="A54" t="s">
        <v>247</v>
      </c>
      <c r="B54" t="s">
        <v>248</v>
      </c>
      <c r="C54" t="str">
        <f>_xlfn.XLOOKUP(A54,Tarefas!A:A,Tarefas!C:C)</f>
        <v>MOI, MOA, MODS</v>
      </c>
      <c r="D54" t="s">
        <v>122</v>
      </c>
      <c r="E54" t="s">
        <v>29</v>
      </c>
      <c r="F54" t="s">
        <v>30</v>
      </c>
      <c r="G54" t="s">
        <v>235</v>
      </c>
      <c r="H54" t="s">
        <v>40</v>
      </c>
      <c r="I54" t="s">
        <v>138</v>
      </c>
      <c r="J54" t="s">
        <v>28</v>
      </c>
      <c r="K54" t="s">
        <v>28</v>
      </c>
      <c r="L54" t="s">
        <v>28</v>
      </c>
      <c r="M54" t="s">
        <v>35</v>
      </c>
      <c r="N54" t="s">
        <v>28</v>
      </c>
      <c r="O54" t="s">
        <v>28</v>
      </c>
      <c r="P54" t="s">
        <v>178</v>
      </c>
      <c r="Q54" t="s">
        <v>249</v>
      </c>
      <c r="R54" t="s">
        <v>28</v>
      </c>
      <c r="T54">
        <v>45.21</v>
      </c>
    </row>
    <row r="55" spans="1:20" x14ac:dyDescent="0.25">
      <c r="A55" t="s">
        <v>250</v>
      </c>
      <c r="B55" t="s">
        <v>251</v>
      </c>
      <c r="C55" t="str">
        <f>_xlfn.XLOOKUP(A55,Tarefas!A:A,Tarefas!C:C)</f>
        <v>MOI, MOA, MODS</v>
      </c>
      <c r="D55" t="s">
        <v>122</v>
      </c>
      <c r="E55" t="s">
        <v>39</v>
      </c>
      <c r="F55" t="s">
        <v>30</v>
      </c>
      <c r="G55" t="s">
        <v>235</v>
      </c>
      <c r="H55" t="s">
        <v>40</v>
      </c>
      <c r="I55" t="s">
        <v>138</v>
      </c>
      <c r="J55" t="s">
        <v>187</v>
      </c>
      <c r="K55" t="s">
        <v>28</v>
      </c>
      <c r="L55" t="s">
        <v>28</v>
      </c>
      <c r="M55" t="s">
        <v>35</v>
      </c>
      <c r="N55" t="s">
        <v>138</v>
      </c>
      <c r="O55" t="s">
        <v>40</v>
      </c>
      <c r="P55" t="s">
        <v>112</v>
      </c>
      <c r="Q55" t="s">
        <v>252</v>
      </c>
      <c r="R55" t="s">
        <v>28</v>
      </c>
      <c r="T55">
        <v>50.34</v>
      </c>
    </row>
    <row r="56" spans="1:20" x14ac:dyDescent="0.25">
      <c r="A56" t="s">
        <v>253</v>
      </c>
      <c r="B56" t="s">
        <v>254</v>
      </c>
      <c r="C56" t="str">
        <f>_xlfn.XLOOKUP(A56,Tarefas!A:A,Tarefas!C:C)</f>
        <v>RPA</v>
      </c>
      <c r="D56" t="s">
        <v>28</v>
      </c>
      <c r="E56" t="s">
        <v>39</v>
      </c>
      <c r="F56" t="s">
        <v>30</v>
      </c>
      <c r="G56" t="s">
        <v>186</v>
      </c>
      <c r="H56" t="s">
        <v>186</v>
      </c>
      <c r="I56" t="s">
        <v>223</v>
      </c>
      <c r="J56" t="s">
        <v>41</v>
      </c>
      <c r="K56" t="s">
        <v>28</v>
      </c>
      <c r="L56" t="s">
        <v>28</v>
      </c>
      <c r="M56" t="s">
        <v>35</v>
      </c>
      <c r="N56" t="s">
        <v>216</v>
      </c>
      <c r="O56" t="s">
        <v>144</v>
      </c>
      <c r="P56" t="s">
        <v>112</v>
      </c>
      <c r="Q56" t="s">
        <v>255</v>
      </c>
      <c r="R56" t="s">
        <v>28</v>
      </c>
      <c r="T56">
        <v>536.25</v>
      </c>
    </row>
    <row r="57" spans="1:20" x14ac:dyDescent="0.25">
      <c r="A57" t="s">
        <v>256</v>
      </c>
      <c r="B57" t="s">
        <v>257</v>
      </c>
      <c r="C57" t="str">
        <f>_xlfn.XLOOKUP(A57,Tarefas!A:A,Tarefas!C:C)</f>
        <v>RPA</v>
      </c>
      <c r="D57" t="s">
        <v>28</v>
      </c>
      <c r="E57" t="s">
        <v>39</v>
      </c>
      <c r="F57" t="s">
        <v>30</v>
      </c>
      <c r="G57" t="s">
        <v>186</v>
      </c>
      <c r="H57" t="s">
        <v>186</v>
      </c>
      <c r="I57" t="s">
        <v>223</v>
      </c>
      <c r="J57" t="s">
        <v>41</v>
      </c>
      <c r="K57" t="s">
        <v>28</v>
      </c>
      <c r="L57" t="s">
        <v>28</v>
      </c>
      <c r="M57" t="s">
        <v>35</v>
      </c>
      <c r="N57" t="s">
        <v>203</v>
      </c>
      <c r="O57" t="s">
        <v>186</v>
      </c>
      <c r="P57" t="s">
        <v>28</v>
      </c>
      <c r="Q57" t="s">
        <v>28</v>
      </c>
      <c r="R57" t="s">
        <v>28</v>
      </c>
      <c r="T57">
        <v>904.74</v>
      </c>
    </row>
    <row r="58" spans="1:20" x14ac:dyDescent="0.25">
      <c r="A58" t="s">
        <v>258</v>
      </c>
      <c r="B58" t="s">
        <v>259</v>
      </c>
      <c r="C58" t="str">
        <f>_xlfn.XLOOKUP(A58,Tarefas!A:A,Tarefas!C:C)</f>
        <v>RPA</v>
      </c>
      <c r="D58" t="s">
        <v>28</v>
      </c>
      <c r="E58" t="s">
        <v>29</v>
      </c>
      <c r="F58" t="s">
        <v>260</v>
      </c>
      <c r="G58" t="s">
        <v>186</v>
      </c>
      <c r="H58" t="s">
        <v>186</v>
      </c>
      <c r="I58" t="s">
        <v>223</v>
      </c>
      <c r="J58" t="s">
        <v>41</v>
      </c>
      <c r="K58" t="s">
        <v>28</v>
      </c>
      <c r="L58" t="s">
        <v>28</v>
      </c>
      <c r="M58" t="s">
        <v>128</v>
      </c>
      <c r="N58" t="s">
        <v>28</v>
      </c>
      <c r="O58" t="s">
        <v>28</v>
      </c>
      <c r="P58" t="s">
        <v>28</v>
      </c>
      <c r="Q58" t="s">
        <v>28</v>
      </c>
      <c r="R58" t="s">
        <v>28</v>
      </c>
      <c r="S58" t="s">
        <v>261</v>
      </c>
      <c r="T58">
        <v>695.57</v>
      </c>
    </row>
    <row r="59" spans="1:20" x14ac:dyDescent="0.25">
      <c r="A59" t="s">
        <v>262</v>
      </c>
      <c r="B59" t="s">
        <v>263</v>
      </c>
      <c r="C59" t="str">
        <f>_xlfn.XLOOKUP(A59,Tarefas!A:A,Tarefas!C:C)</f>
        <v>RPA</v>
      </c>
      <c r="D59" t="s">
        <v>28</v>
      </c>
      <c r="E59" t="s">
        <v>39</v>
      </c>
      <c r="F59" t="s">
        <v>30</v>
      </c>
      <c r="G59" t="s">
        <v>264</v>
      </c>
      <c r="H59" t="s">
        <v>186</v>
      </c>
      <c r="I59" t="s">
        <v>223</v>
      </c>
      <c r="J59" t="s">
        <v>194</v>
      </c>
      <c r="K59" t="s">
        <v>28</v>
      </c>
      <c r="L59" t="s">
        <v>28</v>
      </c>
      <c r="M59" t="s">
        <v>35</v>
      </c>
      <c r="N59" t="s">
        <v>187</v>
      </c>
      <c r="O59" t="s">
        <v>186</v>
      </c>
      <c r="P59" t="s">
        <v>112</v>
      </c>
      <c r="Q59" t="s">
        <v>265</v>
      </c>
      <c r="R59" t="s">
        <v>28</v>
      </c>
      <c r="T59">
        <v>379.62</v>
      </c>
    </row>
    <row r="60" spans="1:20" x14ac:dyDescent="0.25">
      <c r="A60" t="s">
        <v>266</v>
      </c>
      <c r="B60" t="s">
        <v>267</v>
      </c>
      <c r="C60" t="str">
        <f>_xlfn.XLOOKUP(A60,Tarefas!A:A,Tarefas!C:C)</f>
        <v>RPA</v>
      </c>
      <c r="D60" t="s">
        <v>28</v>
      </c>
      <c r="E60" t="s">
        <v>123</v>
      </c>
      <c r="F60" t="s">
        <v>30</v>
      </c>
      <c r="G60" t="s">
        <v>186</v>
      </c>
      <c r="H60" t="s">
        <v>186</v>
      </c>
      <c r="I60" t="s">
        <v>223</v>
      </c>
      <c r="J60" t="s">
        <v>41</v>
      </c>
      <c r="K60" t="s">
        <v>28</v>
      </c>
      <c r="L60" t="s">
        <v>28</v>
      </c>
      <c r="M60" t="s">
        <v>128</v>
      </c>
      <c r="N60" t="s">
        <v>28</v>
      </c>
      <c r="O60" t="s">
        <v>28</v>
      </c>
      <c r="P60" t="s">
        <v>268</v>
      </c>
      <c r="Q60" t="s">
        <v>269</v>
      </c>
      <c r="R60" t="s">
        <v>28</v>
      </c>
      <c r="S60" t="s">
        <v>270</v>
      </c>
      <c r="T60">
        <v>290.77</v>
      </c>
    </row>
    <row r="61" spans="1:20" x14ac:dyDescent="0.25">
      <c r="A61" t="s">
        <v>271</v>
      </c>
      <c r="B61" t="s">
        <v>272</v>
      </c>
      <c r="C61" t="str">
        <f>_xlfn.XLOOKUP(A61,Tarefas!A:A,Tarefas!C:C)</f>
        <v>Padronizações/Certificações</v>
      </c>
      <c r="D61" t="s">
        <v>28</v>
      </c>
      <c r="E61" t="s">
        <v>39</v>
      </c>
      <c r="F61" t="s">
        <v>124</v>
      </c>
      <c r="G61" t="s">
        <v>193</v>
      </c>
      <c r="H61" t="s">
        <v>193</v>
      </c>
      <c r="I61" t="s">
        <v>150</v>
      </c>
      <c r="J61" t="s">
        <v>126</v>
      </c>
      <c r="K61" t="s">
        <v>138</v>
      </c>
      <c r="L61" t="s">
        <v>28</v>
      </c>
      <c r="M61" t="s">
        <v>35</v>
      </c>
      <c r="N61" t="s">
        <v>203</v>
      </c>
      <c r="O61" t="s">
        <v>193</v>
      </c>
      <c r="P61" t="s">
        <v>28</v>
      </c>
      <c r="Q61" t="s">
        <v>28</v>
      </c>
      <c r="R61" t="s">
        <v>28</v>
      </c>
      <c r="T61">
        <v>917.2</v>
      </c>
    </row>
    <row r="62" spans="1:20" x14ac:dyDescent="0.25">
      <c r="A62" t="s">
        <v>273</v>
      </c>
      <c r="B62" t="s">
        <v>274</v>
      </c>
      <c r="C62" t="str">
        <f>_xlfn.XLOOKUP(A62,Tarefas!A:A,Tarefas!C:C)</f>
        <v>Padronizações/Certificações</v>
      </c>
      <c r="D62" t="s">
        <v>28</v>
      </c>
      <c r="E62" t="s">
        <v>39</v>
      </c>
      <c r="F62" t="s">
        <v>124</v>
      </c>
      <c r="G62" t="s">
        <v>28</v>
      </c>
      <c r="H62" t="s">
        <v>193</v>
      </c>
      <c r="I62" t="s">
        <v>150</v>
      </c>
      <c r="J62" t="s">
        <v>126</v>
      </c>
      <c r="K62" t="s">
        <v>138</v>
      </c>
      <c r="L62" t="s">
        <v>28</v>
      </c>
      <c r="M62" t="s">
        <v>35</v>
      </c>
      <c r="N62" t="s">
        <v>203</v>
      </c>
      <c r="O62" t="s">
        <v>40</v>
      </c>
      <c r="P62" t="s">
        <v>28</v>
      </c>
      <c r="Q62" t="s">
        <v>28</v>
      </c>
      <c r="R62" t="s">
        <v>28</v>
      </c>
      <c r="T62">
        <v>465.7</v>
      </c>
    </row>
    <row r="63" spans="1:20" x14ac:dyDescent="0.25">
      <c r="A63" t="s">
        <v>275</v>
      </c>
      <c r="B63" t="s">
        <v>276</v>
      </c>
      <c r="C63" t="str">
        <f>_xlfn.XLOOKUP(A63,Tarefas!A:A,Tarefas!C:C)</f>
        <v>MTM/Impressão 3D</v>
      </c>
      <c r="D63" t="s">
        <v>28</v>
      </c>
      <c r="E63" t="s">
        <v>39</v>
      </c>
      <c r="F63" t="s">
        <v>30</v>
      </c>
      <c r="G63" t="s">
        <v>193</v>
      </c>
      <c r="H63" t="s">
        <v>193</v>
      </c>
      <c r="I63" t="s">
        <v>203</v>
      </c>
      <c r="J63" t="s">
        <v>277</v>
      </c>
      <c r="K63" t="s">
        <v>203</v>
      </c>
      <c r="L63" t="s">
        <v>28</v>
      </c>
      <c r="M63" t="s">
        <v>35</v>
      </c>
      <c r="N63" t="s">
        <v>216</v>
      </c>
      <c r="O63" t="s">
        <v>40</v>
      </c>
      <c r="P63" t="s">
        <v>28</v>
      </c>
      <c r="Q63" t="s">
        <v>28</v>
      </c>
      <c r="R63" t="s">
        <v>28</v>
      </c>
      <c r="T63">
        <v>936.21</v>
      </c>
    </row>
    <row r="64" spans="1:20" x14ac:dyDescent="0.25">
      <c r="A64" t="s">
        <v>278</v>
      </c>
      <c r="B64" t="s">
        <v>279</v>
      </c>
      <c r="C64" t="str">
        <f>_xlfn.XLOOKUP(A64,Tarefas!A:A,Tarefas!C:C)</f>
        <v>MTM/Impressão 3D</v>
      </c>
      <c r="D64" t="s">
        <v>28</v>
      </c>
      <c r="E64" t="s">
        <v>39</v>
      </c>
      <c r="F64" t="s">
        <v>30</v>
      </c>
      <c r="G64" t="s">
        <v>193</v>
      </c>
      <c r="H64" t="s">
        <v>193</v>
      </c>
      <c r="I64" t="s">
        <v>203</v>
      </c>
      <c r="J64" t="s">
        <v>126</v>
      </c>
      <c r="K64" t="s">
        <v>138</v>
      </c>
      <c r="L64" t="s">
        <v>28</v>
      </c>
      <c r="M64" t="s">
        <v>35</v>
      </c>
      <c r="N64" t="s">
        <v>203</v>
      </c>
      <c r="O64" t="s">
        <v>193</v>
      </c>
      <c r="P64" t="s">
        <v>28</v>
      </c>
      <c r="Q64" t="s">
        <v>28</v>
      </c>
      <c r="R64" t="s">
        <v>28</v>
      </c>
      <c r="T64">
        <v>456.62</v>
      </c>
    </row>
    <row r="65" spans="1:20" x14ac:dyDescent="0.25">
      <c r="A65" t="s">
        <v>280</v>
      </c>
      <c r="B65" t="s">
        <v>281</v>
      </c>
      <c r="C65" t="str">
        <f>_xlfn.XLOOKUP(A65,Tarefas!A:A,Tarefas!C:C)</f>
        <v>RPA</v>
      </c>
      <c r="D65" t="s">
        <v>28</v>
      </c>
      <c r="E65" t="s">
        <v>39</v>
      </c>
      <c r="F65" t="s">
        <v>30</v>
      </c>
      <c r="G65" t="s">
        <v>201</v>
      </c>
      <c r="H65" t="s">
        <v>201</v>
      </c>
      <c r="I65" t="s">
        <v>203</v>
      </c>
      <c r="J65" t="s">
        <v>187</v>
      </c>
      <c r="K65" t="s">
        <v>203</v>
      </c>
      <c r="L65" t="s">
        <v>28</v>
      </c>
      <c r="M65" t="s">
        <v>35</v>
      </c>
      <c r="N65" t="s">
        <v>187</v>
      </c>
      <c r="O65" t="s">
        <v>201</v>
      </c>
      <c r="P65" t="s">
        <v>94</v>
      </c>
      <c r="Q65" t="s">
        <v>282</v>
      </c>
      <c r="R65" t="s">
        <v>28</v>
      </c>
      <c r="T65">
        <v>879.46</v>
      </c>
    </row>
    <row r="66" spans="1:20" x14ac:dyDescent="0.25">
      <c r="A66" t="s">
        <v>283</v>
      </c>
      <c r="B66" t="s">
        <v>284</v>
      </c>
      <c r="C66" t="str">
        <f>_xlfn.XLOOKUP(A66,Tarefas!A:A,Tarefas!C:C)</f>
        <v>SMED</v>
      </c>
      <c r="D66" t="s">
        <v>28</v>
      </c>
      <c r="E66" t="s">
        <v>39</v>
      </c>
      <c r="F66" t="s">
        <v>124</v>
      </c>
      <c r="G66" t="s">
        <v>28</v>
      </c>
      <c r="H66" t="s">
        <v>28</v>
      </c>
      <c r="I66" t="s">
        <v>203</v>
      </c>
      <c r="J66" t="s">
        <v>187</v>
      </c>
      <c r="K66" t="s">
        <v>277</v>
      </c>
      <c r="L66" t="s">
        <v>28</v>
      </c>
      <c r="M66" t="s">
        <v>35</v>
      </c>
      <c r="N66" t="s">
        <v>285</v>
      </c>
      <c r="O66" t="s">
        <v>28</v>
      </c>
      <c r="P66" t="s">
        <v>67</v>
      </c>
      <c r="Q66" t="s">
        <v>286</v>
      </c>
      <c r="R66" t="s">
        <v>28</v>
      </c>
      <c r="T66">
        <v>75.989999999999995</v>
      </c>
    </row>
    <row r="67" spans="1:20" x14ac:dyDescent="0.25">
      <c r="A67" t="s">
        <v>287</v>
      </c>
      <c r="B67" t="s">
        <v>288</v>
      </c>
      <c r="C67" t="str">
        <f>_xlfn.XLOOKUP(A67,Tarefas!A:A,Tarefas!C:C)</f>
        <v>RPA</v>
      </c>
      <c r="D67" t="s">
        <v>28</v>
      </c>
      <c r="E67" t="s">
        <v>39</v>
      </c>
      <c r="F67" t="s">
        <v>30</v>
      </c>
      <c r="G67" t="s">
        <v>201</v>
      </c>
      <c r="H67" t="s">
        <v>201</v>
      </c>
      <c r="I67" t="s">
        <v>203</v>
      </c>
      <c r="J67" t="s">
        <v>126</v>
      </c>
      <c r="K67" t="s">
        <v>28</v>
      </c>
      <c r="L67" t="s">
        <v>28</v>
      </c>
      <c r="M67" t="s">
        <v>35</v>
      </c>
      <c r="N67" t="s">
        <v>187</v>
      </c>
      <c r="O67" t="s">
        <v>201</v>
      </c>
      <c r="P67" t="s">
        <v>67</v>
      </c>
      <c r="Q67" t="s">
        <v>289</v>
      </c>
      <c r="R67" t="s">
        <v>28</v>
      </c>
      <c r="T67">
        <v>646.13</v>
      </c>
    </row>
    <row r="68" spans="1:20" x14ac:dyDescent="0.25">
      <c r="A68" t="s">
        <v>290</v>
      </c>
      <c r="B68" t="s">
        <v>291</v>
      </c>
      <c r="C68" t="str">
        <f>_xlfn.XLOOKUP(A68,Tarefas!A:A,Tarefas!C:C)</f>
        <v>Logística</v>
      </c>
      <c r="D68" t="s">
        <v>28</v>
      </c>
      <c r="E68" t="s">
        <v>39</v>
      </c>
      <c r="F68" t="s">
        <v>30</v>
      </c>
      <c r="G68" t="s">
        <v>293</v>
      </c>
      <c r="H68" t="s">
        <v>40</v>
      </c>
      <c r="I68" t="s">
        <v>203</v>
      </c>
      <c r="J68" t="s">
        <v>126</v>
      </c>
      <c r="K68" t="s">
        <v>28</v>
      </c>
      <c r="L68" t="s">
        <v>28</v>
      </c>
      <c r="M68" t="s">
        <v>35</v>
      </c>
      <c r="N68" t="s">
        <v>203</v>
      </c>
      <c r="O68" t="s">
        <v>40</v>
      </c>
      <c r="P68" t="s">
        <v>28</v>
      </c>
      <c r="Q68" t="s">
        <v>28</v>
      </c>
      <c r="R68" t="s">
        <v>28</v>
      </c>
      <c r="T68">
        <v>23.01</v>
      </c>
    </row>
    <row r="69" spans="1:20" x14ac:dyDescent="0.25">
      <c r="A69" t="s">
        <v>294</v>
      </c>
      <c r="B69" t="s">
        <v>295</v>
      </c>
      <c r="C69" t="str">
        <f>_xlfn.XLOOKUP(A69,Tarefas!A:A,Tarefas!C:C)</f>
        <v>Logística</v>
      </c>
      <c r="D69" t="s">
        <v>28</v>
      </c>
      <c r="E69" t="s">
        <v>39</v>
      </c>
      <c r="F69" t="s">
        <v>30</v>
      </c>
      <c r="G69" t="s">
        <v>293</v>
      </c>
      <c r="H69" t="s">
        <v>40</v>
      </c>
      <c r="I69" t="s">
        <v>203</v>
      </c>
      <c r="J69" t="s">
        <v>28</v>
      </c>
      <c r="K69" t="s">
        <v>28</v>
      </c>
      <c r="L69" t="s">
        <v>28</v>
      </c>
      <c r="M69" t="s">
        <v>35</v>
      </c>
      <c r="N69" t="s">
        <v>203</v>
      </c>
      <c r="O69" t="s">
        <v>40</v>
      </c>
      <c r="P69" t="s">
        <v>28</v>
      </c>
      <c r="Q69" t="s">
        <v>28</v>
      </c>
      <c r="R69" t="s">
        <v>28</v>
      </c>
      <c r="T69">
        <v>315.31</v>
      </c>
    </row>
    <row r="70" spans="1:20" x14ac:dyDescent="0.25">
      <c r="A70" t="s">
        <v>296</v>
      </c>
      <c r="B70" t="s">
        <v>297</v>
      </c>
      <c r="C70" t="str">
        <f>_xlfn.XLOOKUP(A70,Tarefas!A:A,Tarefas!C:C)</f>
        <v>Programa de Melhorias</v>
      </c>
      <c r="D70" t="s">
        <v>28</v>
      </c>
      <c r="E70" t="s">
        <v>29</v>
      </c>
      <c r="F70" t="s">
        <v>30</v>
      </c>
      <c r="G70" t="s">
        <v>144</v>
      </c>
      <c r="H70" t="s">
        <v>144</v>
      </c>
      <c r="I70" t="s">
        <v>203</v>
      </c>
      <c r="J70" t="s">
        <v>5</v>
      </c>
      <c r="K70" t="s">
        <v>298</v>
      </c>
      <c r="L70" t="s">
        <v>28</v>
      </c>
      <c r="M70" t="s">
        <v>35</v>
      </c>
      <c r="N70" t="s">
        <v>28</v>
      </c>
      <c r="O70" t="s">
        <v>28</v>
      </c>
      <c r="P70" t="s">
        <v>172</v>
      </c>
      <c r="Q70" t="s">
        <v>299</v>
      </c>
      <c r="R70" t="s">
        <v>28</v>
      </c>
      <c r="T70">
        <v>947.2</v>
      </c>
    </row>
    <row r="71" spans="1:20" x14ac:dyDescent="0.25">
      <c r="A71" t="s">
        <v>300</v>
      </c>
      <c r="B71" t="s">
        <v>301</v>
      </c>
      <c r="C71" t="str">
        <f>_xlfn.XLOOKUP(A71,Tarefas!A:A,Tarefas!C:C)</f>
        <v>SMED</v>
      </c>
      <c r="D71" t="s">
        <v>28</v>
      </c>
      <c r="E71" t="s">
        <v>123</v>
      </c>
      <c r="F71" t="s">
        <v>30</v>
      </c>
      <c r="G71" t="s">
        <v>302</v>
      </c>
      <c r="H71" t="s">
        <v>302</v>
      </c>
      <c r="I71" t="s">
        <v>203</v>
      </c>
      <c r="J71" t="s">
        <v>303</v>
      </c>
      <c r="K71" t="s">
        <v>28</v>
      </c>
      <c r="L71" t="s">
        <v>28</v>
      </c>
      <c r="M71" t="s">
        <v>128</v>
      </c>
      <c r="N71" t="s">
        <v>28</v>
      </c>
      <c r="O71" t="s">
        <v>28</v>
      </c>
      <c r="P71" t="s">
        <v>112</v>
      </c>
      <c r="Q71" t="s">
        <v>304</v>
      </c>
      <c r="R71" t="s">
        <v>28</v>
      </c>
      <c r="T71">
        <v>522.23</v>
      </c>
    </row>
    <row r="72" spans="1:20" x14ac:dyDescent="0.25">
      <c r="A72" t="s">
        <v>305</v>
      </c>
      <c r="B72" t="s">
        <v>306</v>
      </c>
      <c r="C72" t="str">
        <f>_xlfn.XLOOKUP(A72,Tarefas!A:A,Tarefas!C:C)</f>
        <v>Programa de Melhorias</v>
      </c>
      <c r="D72" t="s">
        <v>28</v>
      </c>
      <c r="E72" t="s">
        <v>39</v>
      </c>
      <c r="F72" t="s">
        <v>124</v>
      </c>
      <c r="G72" t="s">
        <v>144</v>
      </c>
      <c r="H72" t="s">
        <v>144</v>
      </c>
      <c r="I72" t="s">
        <v>203</v>
      </c>
      <c r="J72" t="s">
        <v>187</v>
      </c>
      <c r="K72" t="s">
        <v>277</v>
      </c>
      <c r="L72" t="s">
        <v>28</v>
      </c>
      <c r="M72" t="s">
        <v>35</v>
      </c>
      <c r="N72" t="s">
        <v>187</v>
      </c>
      <c r="O72" t="s">
        <v>144</v>
      </c>
      <c r="P72" t="s">
        <v>307</v>
      </c>
      <c r="Q72" t="s">
        <v>308</v>
      </c>
      <c r="R72" t="s">
        <v>28</v>
      </c>
      <c r="T72">
        <v>627.75</v>
      </c>
    </row>
    <row r="73" spans="1:20" x14ac:dyDescent="0.25">
      <c r="A73" t="s">
        <v>309</v>
      </c>
      <c r="B73" t="s">
        <v>310</v>
      </c>
      <c r="C73" t="str">
        <f>_xlfn.XLOOKUP(A73,Tarefas!A:A,Tarefas!C:C)</f>
        <v>RPA</v>
      </c>
      <c r="D73" t="s">
        <v>28</v>
      </c>
      <c r="E73" t="s">
        <v>39</v>
      </c>
      <c r="F73" t="s">
        <v>124</v>
      </c>
      <c r="G73" t="s">
        <v>144</v>
      </c>
      <c r="H73" t="s">
        <v>144</v>
      </c>
      <c r="I73" t="s">
        <v>203</v>
      </c>
      <c r="J73" t="s">
        <v>187</v>
      </c>
      <c r="K73" t="s">
        <v>277</v>
      </c>
      <c r="L73" t="s">
        <v>28</v>
      </c>
      <c r="M73" t="s">
        <v>35</v>
      </c>
      <c r="N73" t="s">
        <v>33</v>
      </c>
      <c r="O73" t="s">
        <v>144</v>
      </c>
      <c r="P73" t="s">
        <v>28</v>
      </c>
      <c r="Q73" t="s">
        <v>28</v>
      </c>
      <c r="R73" t="s">
        <v>28</v>
      </c>
      <c r="T73">
        <v>8.67</v>
      </c>
    </row>
    <row r="74" spans="1:20" x14ac:dyDescent="0.25">
      <c r="A74" t="s">
        <v>311</v>
      </c>
      <c r="B74" t="s">
        <v>312</v>
      </c>
      <c r="C74" t="str">
        <f>_xlfn.XLOOKUP(A74,Tarefas!A:A,Tarefas!C:C)</f>
        <v>SMED</v>
      </c>
      <c r="D74" t="s">
        <v>28</v>
      </c>
      <c r="E74" t="s">
        <v>123</v>
      </c>
      <c r="F74" t="s">
        <v>30</v>
      </c>
      <c r="G74" t="s">
        <v>302</v>
      </c>
      <c r="H74" t="s">
        <v>302</v>
      </c>
      <c r="I74" t="s">
        <v>203</v>
      </c>
      <c r="J74" t="s">
        <v>187</v>
      </c>
      <c r="K74" t="s">
        <v>28</v>
      </c>
      <c r="L74" t="s">
        <v>28</v>
      </c>
      <c r="M74" t="s">
        <v>128</v>
      </c>
      <c r="N74" t="s">
        <v>28</v>
      </c>
      <c r="O74" t="s">
        <v>28</v>
      </c>
      <c r="P74" t="s">
        <v>178</v>
      </c>
      <c r="Q74" t="s">
        <v>313</v>
      </c>
      <c r="R74" t="s">
        <v>28</v>
      </c>
      <c r="T74">
        <v>502.3</v>
      </c>
    </row>
    <row r="75" spans="1:20" x14ac:dyDescent="0.25">
      <c r="A75" t="s">
        <v>314</v>
      </c>
      <c r="B75" t="s">
        <v>315</v>
      </c>
      <c r="C75" t="str">
        <f>_xlfn.XLOOKUP(A75,Tarefas!A:A,Tarefas!C:C)</f>
        <v>Padronizações/Certificações</v>
      </c>
      <c r="D75" t="s">
        <v>28</v>
      </c>
      <c r="E75" t="s">
        <v>29</v>
      </c>
      <c r="F75" t="s">
        <v>30</v>
      </c>
      <c r="G75" t="s">
        <v>144</v>
      </c>
      <c r="H75" t="s">
        <v>144</v>
      </c>
      <c r="I75" t="s">
        <v>203</v>
      </c>
      <c r="J75" t="s">
        <v>5</v>
      </c>
      <c r="K75" t="s">
        <v>277</v>
      </c>
      <c r="L75" t="s">
        <v>28</v>
      </c>
      <c r="M75" t="s">
        <v>35</v>
      </c>
      <c r="N75" t="s">
        <v>28</v>
      </c>
      <c r="O75" t="s">
        <v>28</v>
      </c>
      <c r="P75" t="s">
        <v>28</v>
      </c>
      <c r="Q75" t="s">
        <v>28</v>
      </c>
      <c r="R75" t="s">
        <v>28</v>
      </c>
      <c r="T75">
        <v>127.34</v>
      </c>
    </row>
    <row r="76" spans="1:20" x14ac:dyDescent="0.25">
      <c r="A76" t="s">
        <v>316</v>
      </c>
      <c r="B76" t="s">
        <v>317</v>
      </c>
      <c r="C76" t="str">
        <f>_xlfn.XLOOKUP(A76,Tarefas!A:A,Tarefas!C:C)</f>
        <v>Pendências Fechamento de Indicadores</v>
      </c>
      <c r="D76" t="s">
        <v>28</v>
      </c>
      <c r="E76" t="s">
        <v>29</v>
      </c>
      <c r="F76" t="s">
        <v>30</v>
      </c>
      <c r="G76" t="s">
        <v>28</v>
      </c>
      <c r="H76" t="s">
        <v>40</v>
      </c>
      <c r="I76" t="s">
        <v>203</v>
      </c>
      <c r="J76" t="s">
        <v>303</v>
      </c>
      <c r="K76" t="s">
        <v>28</v>
      </c>
      <c r="L76" t="s">
        <v>28</v>
      </c>
      <c r="M76" t="s">
        <v>128</v>
      </c>
      <c r="N76" t="s">
        <v>28</v>
      </c>
      <c r="O76" t="s">
        <v>28</v>
      </c>
      <c r="P76" t="s">
        <v>307</v>
      </c>
      <c r="Q76" t="s">
        <v>319</v>
      </c>
      <c r="R76" t="s">
        <v>28</v>
      </c>
      <c r="T76">
        <v>280.72000000000003</v>
      </c>
    </row>
    <row r="77" spans="1:20" x14ac:dyDescent="0.25">
      <c r="A77" t="s">
        <v>320</v>
      </c>
      <c r="B77" t="s">
        <v>321</v>
      </c>
      <c r="C77" t="str">
        <f>_xlfn.XLOOKUP(A77,Tarefas!A:A,Tarefas!C:C)</f>
        <v>Pendências Fechamento de Indicadores</v>
      </c>
      <c r="D77" t="s">
        <v>28</v>
      </c>
      <c r="E77" t="s">
        <v>29</v>
      </c>
      <c r="F77" t="s">
        <v>30</v>
      </c>
      <c r="G77" t="s">
        <v>28</v>
      </c>
      <c r="H77" t="s">
        <v>40</v>
      </c>
      <c r="I77" t="s">
        <v>203</v>
      </c>
      <c r="J77" t="s">
        <v>303</v>
      </c>
      <c r="K77" t="s">
        <v>28</v>
      </c>
      <c r="L77" t="s">
        <v>28</v>
      </c>
      <c r="M77" t="s">
        <v>128</v>
      </c>
      <c r="N77" t="s">
        <v>28</v>
      </c>
      <c r="O77" t="s">
        <v>28</v>
      </c>
      <c r="P77" t="s">
        <v>47</v>
      </c>
      <c r="Q77" t="s">
        <v>322</v>
      </c>
      <c r="R77" t="s">
        <v>28</v>
      </c>
      <c r="T77">
        <v>52.23</v>
      </c>
    </row>
    <row r="78" spans="1:20" x14ac:dyDescent="0.25">
      <c r="A78" t="s">
        <v>323</v>
      </c>
      <c r="B78" t="s">
        <v>324</v>
      </c>
      <c r="C78" t="str">
        <f>_xlfn.XLOOKUP(A78,Tarefas!A:A,Tarefas!C:C)</f>
        <v>Programa de Melhorias</v>
      </c>
      <c r="D78" t="s">
        <v>28</v>
      </c>
      <c r="E78" t="s">
        <v>39</v>
      </c>
      <c r="F78" t="s">
        <v>30</v>
      </c>
      <c r="G78" t="s">
        <v>144</v>
      </c>
      <c r="H78" t="s">
        <v>144</v>
      </c>
      <c r="I78" t="s">
        <v>126</v>
      </c>
      <c r="J78" t="s">
        <v>203</v>
      </c>
      <c r="K78" t="s">
        <v>203</v>
      </c>
      <c r="L78" t="s">
        <v>28</v>
      </c>
      <c r="M78" t="s">
        <v>35</v>
      </c>
      <c r="N78" t="s">
        <v>126</v>
      </c>
      <c r="O78" t="s">
        <v>144</v>
      </c>
      <c r="P78" t="s">
        <v>28</v>
      </c>
      <c r="Q78" t="s">
        <v>28</v>
      </c>
      <c r="R78" t="s">
        <v>28</v>
      </c>
      <c r="S78" t="s">
        <v>325</v>
      </c>
      <c r="T78">
        <v>976.11</v>
      </c>
    </row>
    <row r="79" spans="1:20" x14ac:dyDescent="0.25">
      <c r="A79" t="s">
        <v>326</v>
      </c>
      <c r="B79" t="s">
        <v>327</v>
      </c>
      <c r="C79" t="str">
        <f>_xlfn.XLOOKUP(A79,Tarefas!A:A,Tarefas!C:C)</f>
        <v>MOI, MOA, MODS</v>
      </c>
      <c r="D79" t="s">
        <v>28</v>
      </c>
      <c r="E79" t="s">
        <v>29</v>
      </c>
      <c r="F79" t="s">
        <v>30</v>
      </c>
      <c r="G79" t="s">
        <v>28</v>
      </c>
      <c r="H79" t="s">
        <v>125</v>
      </c>
      <c r="I79" t="s">
        <v>328</v>
      </c>
      <c r="J79" t="s">
        <v>28</v>
      </c>
      <c r="K79" t="s">
        <v>28</v>
      </c>
      <c r="L79" t="s">
        <v>28</v>
      </c>
      <c r="M79" t="s">
        <v>35</v>
      </c>
      <c r="N79" t="s">
        <v>28</v>
      </c>
      <c r="O79" t="s">
        <v>28</v>
      </c>
      <c r="P79" t="s">
        <v>28</v>
      </c>
      <c r="Q79" t="s">
        <v>28</v>
      </c>
      <c r="R79" t="s">
        <v>28</v>
      </c>
      <c r="T79">
        <v>426.08</v>
      </c>
    </row>
    <row r="80" spans="1:20" x14ac:dyDescent="0.25">
      <c r="A80" t="s">
        <v>329</v>
      </c>
      <c r="B80" t="s">
        <v>330</v>
      </c>
      <c r="C80" t="str">
        <f>_xlfn.XLOOKUP(A80,Tarefas!A:A,Tarefas!C:C)</f>
        <v>SMED</v>
      </c>
      <c r="D80" t="s">
        <v>28</v>
      </c>
      <c r="E80" t="s">
        <v>39</v>
      </c>
      <c r="F80" t="s">
        <v>30</v>
      </c>
      <c r="G80" t="s">
        <v>28</v>
      </c>
      <c r="H80" t="s">
        <v>28</v>
      </c>
      <c r="I80" t="s">
        <v>331</v>
      </c>
      <c r="J80" t="s">
        <v>331</v>
      </c>
      <c r="K80" t="s">
        <v>28</v>
      </c>
      <c r="L80" t="s">
        <v>28</v>
      </c>
      <c r="M80" t="s">
        <v>35</v>
      </c>
      <c r="N80" t="s">
        <v>331</v>
      </c>
      <c r="O80" t="s">
        <v>28</v>
      </c>
      <c r="P80" t="s">
        <v>28</v>
      </c>
      <c r="Q80" t="s">
        <v>28</v>
      </c>
      <c r="R80" t="s">
        <v>28</v>
      </c>
      <c r="T80">
        <v>499.33</v>
      </c>
    </row>
    <row r="81" spans="1:20" x14ac:dyDescent="0.25">
      <c r="A81" t="s">
        <v>332</v>
      </c>
      <c r="B81" t="s">
        <v>333</v>
      </c>
      <c r="C81" t="str">
        <f>_xlfn.XLOOKUP(A81,Tarefas!A:A,Tarefas!C:C)</f>
        <v>SMED</v>
      </c>
      <c r="D81" t="s">
        <v>28</v>
      </c>
      <c r="E81" t="s">
        <v>123</v>
      </c>
      <c r="F81" t="s">
        <v>124</v>
      </c>
      <c r="G81" t="s">
        <v>334</v>
      </c>
      <c r="H81" t="s">
        <v>302</v>
      </c>
      <c r="I81" t="s">
        <v>335</v>
      </c>
      <c r="J81" t="s">
        <v>336</v>
      </c>
      <c r="K81" t="s">
        <v>223</v>
      </c>
      <c r="L81" t="s">
        <v>28</v>
      </c>
      <c r="M81" t="s">
        <v>35</v>
      </c>
      <c r="N81" t="s">
        <v>28</v>
      </c>
      <c r="O81" t="s">
        <v>28</v>
      </c>
      <c r="P81" t="s">
        <v>337</v>
      </c>
      <c r="Q81" t="s">
        <v>338</v>
      </c>
      <c r="R81" t="s">
        <v>28</v>
      </c>
      <c r="T81">
        <v>705.43</v>
      </c>
    </row>
    <row r="82" spans="1:20" x14ac:dyDescent="0.25">
      <c r="A82" t="s">
        <v>339</v>
      </c>
      <c r="B82" t="s">
        <v>340</v>
      </c>
      <c r="C82" t="str">
        <f>_xlfn.XLOOKUP(A82,Tarefas!A:A,Tarefas!C:C)</f>
        <v>MTM/Impressão 3D</v>
      </c>
      <c r="D82" t="s">
        <v>28</v>
      </c>
      <c r="E82" t="s">
        <v>39</v>
      </c>
      <c r="F82" t="s">
        <v>30</v>
      </c>
      <c r="G82" t="s">
        <v>193</v>
      </c>
      <c r="H82" t="s">
        <v>193</v>
      </c>
      <c r="I82" t="s">
        <v>194</v>
      </c>
      <c r="J82" t="s">
        <v>187</v>
      </c>
      <c r="K82" t="s">
        <v>277</v>
      </c>
      <c r="L82" t="s">
        <v>28</v>
      </c>
      <c r="M82" t="s">
        <v>35</v>
      </c>
      <c r="N82" t="s">
        <v>187</v>
      </c>
      <c r="O82" t="s">
        <v>40</v>
      </c>
      <c r="P82" t="s">
        <v>28</v>
      </c>
      <c r="Q82" t="s">
        <v>28</v>
      </c>
      <c r="R82" t="s">
        <v>28</v>
      </c>
      <c r="T82">
        <v>204.85</v>
      </c>
    </row>
    <row r="83" spans="1:20" x14ac:dyDescent="0.25">
      <c r="A83" t="s">
        <v>341</v>
      </c>
      <c r="B83" t="s">
        <v>342</v>
      </c>
      <c r="C83" t="str">
        <f>_xlfn.XLOOKUP(A83,Tarefas!A:A,Tarefas!C:C)</f>
        <v>MTM/Impressão 3D</v>
      </c>
      <c r="D83" t="s">
        <v>28</v>
      </c>
      <c r="E83" t="s">
        <v>39</v>
      </c>
      <c r="F83" t="s">
        <v>30</v>
      </c>
      <c r="G83" t="s">
        <v>193</v>
      </c>
      <c r="H83" t="s">
        <v>193</v>
      </c>
      <c r="I83" t="s">
        <v>194</v>
      </c>
      <c r="J83" t="s">
        <v>187</v>
      </c>
      <c r="K83" t="s">
        <v>277</v>
      </c>
      <c r="L83" t="s">
        <v>28</v>
      </c>
      <c r="M83" t="s">
        <v>35</v>
      </c>
      <c r="N83" t="s">
        <v>187</v>
      </c>
      <c r="O83" t="s">
        <v>40</v>
      </c>
      <c r="P83" t="s">
        <v>28</v>
      </c>
      <c r="Q83" t="s">
        <v>28</v>
      </c>
      <c r="R83" t="s">
        <v>28</v>
      </c>
      <c r="T83">
        <v>592.49</v>
      </c>
    </row>
    <row r="84" spans="1:20" x14ac:dyDescent="0.25">
      <c r="A84" t="s">
        <v>343</v>
      </c>
      <c r="B84" t="s">
        <v>344</v>
      </c>
      <c r="C84" t="str">
        <f>_xlfn.XLOOKUP(A84,Tarefas!A:A,Tarefas!C:C)</f>
        <v>MTM/Impressão 3D</v>
      </c>
      <c r="D84" t="s">
        <v>28</v>
      </c>
      <c r="E84" t="s">
        <v>39</v>
      </c>
      <c r="F84" t="s">
        <v>30</v>
      </c>
      <c r="G84" t="s">
        <v>193</v>
      </c>
      <c r="H84" t="s">
        <v>193</v>
      </c>
      <c r="I84" t="s">
        <v>194</v>
      </c>
      <c r="J84" t="s">
        <v>187</v>
      </c>
      <c r="K84" t="s">
        <v>277</v>
      </c>
      <c r="L84" t="s">
        <v>28</v>
      </c>
      <c r="M84" t="s">
        <v>35</v>
      </c>
      <c r="N84" t="s">
        <v>187</v>
      </c>
      <c r="O84" t="s">
        <v>40</v>
      </c>
      <c r="P84" t="s">
        <v>28</v>
      </c>
      <c r="Q84" t="s">
        <v>28</v>
      </c>
      <c r="R84" t="s">
        <v>28</v>
      </c>
      <c r="T84">
        <v>645.91999999999996</v>
      </c>
    </row>
    <row r="85" spans="1:20" x14ac:dyDescent="0.25">
      <c r="A85" t="s">
        <v>345</v>
      </c>
      <c r="B85" t="s">
        <v>346</v>
      </c>
      <c r="C85" t="str">
        <f>_xlfn.XLOOKUP(A85,Tarefas!A:A,Tarefas!C:C)</f>
        <v>Programa de Melhorias</v>
      </c>
      <c r="D85" t="s">
        <v>28</v>
      </c>
      <c r="E85" t="s">
        <v>39</v>
      </c>
      <c r="F85" t="s">
        <v>124</v>
      </c>
      <c r="G85" t="s">
        <v>28</v>
      </c>
      <c r="H85" t="s">
        <v>144</v>
      </c>
      <c r="I85" t="s">
        <v>194</v>
      </c>
      <c r="J85" t="s">
        <v>187</v>
      </c>
      <c r="K85" t="s">
        <v>138</v>
      </c>
      <c r="L85" t="s">
        <v>28</v>
      </c>
      <c r="M85" t="s">
        <v>35</v>
      </c>
      <c r="N85" t="s">
        <v>194</v>
      </c>
      <c r="O85" t="s">
        <v>144</v>
      </c>
      <c r="P85" t="s">
        <v>28</v>
      </c>
      <c r="Q85" t="s">
        <v>28</v>
      </c>
      <c r="R85" t="s">
        <v>28</v>
      </c>
      <c r="T85">
        <v>301.13</v>
      </c>
    </row>
    <row r="86" spans="1:20" x14ac:dyDescent="0.25">
      <c r="A86" t="s">
        <v>347</v>
      </c>
      <c r="B86" t="s">
        <v>348</v>
      </c>
      <c r="C86" t="str">
        <f>_xlfn.XLOOKUP(A86,Tarefas!A:A,Tarefas!C:C)</f>
        <v>MTM/Impressão 3D</v>
      </c>
      <c r="D86" t="s">
        <v>28</v>
      </c>
      <c r="E86" t="s">
        <v>39</v>
      </c>
      <c r="F86" t="s">
        <v>30</v>
      </c>
      <c r="G86" t="s">
        <v>193</v>
      </c>
      <c r="H86" t="s">
        <v>193</v>
      </c>
      <c r="I86" t="s">
        <v>194</v>
      </c>
      <c r="J86" t="s">
        <v>187</v>
      </c>
      <c r="K86" t="s">
        <v>277</v>
      </c>
      <c r="L86" t="s">
        <v>28</v>
      </c>
      <c r="M86" t="s">
        <v>35</v>
      </c>
      <c r="N86" t="s">
        <v>187</v>
      </c>
      <c r="O86" t="s">
        <v>40</v>
      </c>
      <c r="P86" t="s">
        <v>28</v>
      </c>
      <c r="Q86" t="s">
        <v>28</v>
      </c>
      <c r="R86" t="s">
        <v>28</v>
      </c>
      <c r="T86">
        <v>43.83</v>
      </c>
    </row>
    <row r="87" spans="1:20" x14ac:dyDescent="0.25">
      <c r="A87" t="s">
        <v>349</v>
      </c>
      <c r="B87" t="s">
        <v>350</v>
      </c>
      <c r="C87" t="str">
        <f>_xlfn.XLOOKUP(A87,Tarefas!A:A,Tarefas!C:C)</f>
        <v>MTM/Impressão 3D</v>
      </c>
      <c r="D87" t="s">
        <v>28</v>
      </c>
      <c r="E87" t="s">
        <v>39</v>
      </c>
      <c r="F87" t="s">
        <v>30</v>
      </c>
      <c r="G87" t="s">
        <v>193</v>
      </c>
      <c r="H87" t="s">
        <v>193</v>
      </c>
      <c r="I87" t="s">
        <v>194</v>
      </c>
      <c r="J87" t="s">
        <v>187</v>
      </c>
      <c r="K87" t="s">
        <v>277</v>
      </c>
      <c r="L87" t="s">
        <v>28</v>
      </c>
      <c r="M87" t="s">
        <v>35</v>
      </c>
      <c r="N87" t="s">
        <v>187</v>
      </c>
      <c r="O87" t="s">
        <v>40</v>
      </c>
      <c r="P87" t="s">
        <v>28</v>
      </c>
      <c r="Q87" t="s">
        <v>28</v>
      </c>
      <c r="R87" t="s">
        <v>28</v>
      </c>
      <c r="T87">
        <v>26.47</v>
      </c>
    </row>
    <row r="88" spans="1:20" x14ac:dyDescent="0.25">
      <c r="A88" t="s">
        <v>351</v>
      </c>
      <c r="B88" t="s">
        <v>352</v>
      </c>
      <c r="C88" t="str">
        <f>_xlfn.XLOOKUP(A88,Tarefas!A:A,Tarefas!C:C)</f>
        <v>MTM/Impressão 3D</v>
      </c>
      <c r="D88" t="s">
        <v>28</v>
      </c>
      <c r="E88" t="s">
        <v>39</v>
      </c>
      <c r="F88" t="s">
        <v>30</v>
      </c>
      <c r="G88" t="s">
        <v>193</v>
      </c>
      <c r="H88" t="s">
        <v>193</v>
      </c>
      <c r="I88" t="s">
        <v>194</v>
      </c>
      <c r="J88" t="s">
        <v>187</v>
      </c>
      <c r="K88" t="s">
        <v>277</v>
      </c>
      <c r="L88" t="s">
        <v>28</v>
      </c>
      <c r="M88" t="s">
        <v>35</v>
      </c>
      <c r="N88" t="s">
        <v>187</v>
      </c>
      <c r="O88" t="s">
        <v>40</v>
      </c>
      <c r="P88" t="s">
        <v>28</v>
      </c>
      <c r="Q88" t="s">
        <v>28</v>
      </c>
      <c r="R88" t="s">
        <v>28</v>
      </c>
      <c r="T88">
        <v>776.96</v>
      </c>
    </row>
    <row r="89" spans="1:20" x14ac:dyDescent="0.25">
      <c r="A89" t="s">
        <v>353</v>
      </c>
      <c r="B89" t="s">
        <v>354</v>
      </c>
      <c r="C89" t="str">
        <f>_xlfn.XLOOKUP(A89,Tarefas!A:A,Tarefas!C:C)</f>
        <v>MTM/Impressão 3D</v>
      </c>
      <c r="D89" t="s">
        <v>28</v>
      </c>
      <c r="E89" t="s">
        <v>39</v>
      </c>
      <c r="F89" t="s">
        <v>30</v>
      </c>
      <c r="G89" t="s">
        <v>193</v>
      </c>
      <c r="H89" t="s">
        <v>193</v>
      </c>
      <c r="I89" t="s">
        <v>194</v>
      </c>
      <c r="J89" t="s">
        <v>187</v>
      </c>
      <c r="K89" t="s">
        <v>277</v>
      </c>
      <c r="L89" t="s">
        <v>28</v>
      </c>
      <c r="M89" t="s">
        <v>35</v>
      </c>
      <c r="N89" t="s">
        <v>187</v>
      </c>
      <c r="O89" t="s">
        <v>40</v>
      </c>
      <c r="P89" t="s">
        <v>28</v>
      </c>
      <c r="Q89" t="s">
        <v>28</v>
      </c>
      <c r="R89" t="s">
        <v>28</v>
      </c>
      <c r="T89">
        <v>305.23</v>
      </c>
    </row>
    <row r="90" spans="1:20" x14ac:dyDescent="0.25">
      <c r="A90" t="s">
        <v>355</v>
      </c>
      <c r="B90" t="s">
        <v>356</v>
      </c>
      <c r="C90" t="str">
        <f>_xlfn.XLOOKUP(A90,Tarefas!A:A,Tarefas!C:C)</f>
        <v>MTM/Impressão 3D</v>
      </c>
      <c r="D90" t="s">
        <v>28</v>
      </c>
      <c r="E90" t="s">
        <v>39</v>
      </c>
      <c r="F90" t="s">
        <v>30</v>
      </c>
      <c r="G90" t="s">
        <v>193</v>
      </c>
      <c r="H90" t="s">
        <v>193</v>
      </c>
      <c r="I90" t="s">
        <v>194</v>
      </c>
      <c r="J90" t="s">
        <v>187</v>
      </c>
      <c r="K90" t="s">
        <v>277</v>
      </c>
      <c r="L90" t="s">
        <v>28</v>
      </c>
      <c r="M90" t="s">
        <v>35</v>
      </c>
      <c r="N90" t="s">
        <v>187</v>
      </c>
      <c r="O90" t="s">
        <v>40</v>
      </c>
      <c r="P90" t="s">
        <v>28</v>
      </c>
      <c r="Q90" t="s">
        <v>28</v>
      </c>
      <c r="R90" t="s">
        <v>28</v>
      </c>
      <c r="T90">
        <v>456.21</v>
      </c>
    </row>
    <row r="91" spans="1:20" x14ac:dyDescent="0.25">
      <c r="A91" t="s">
        <v>357</v>
      </c>
      <c r="B91" t="s">
        <v>358</v>
      </c>
      <c r="C91" t="str">
        <f>_xlfn.XLOOKUP(A91,Tarefas!A:A,Tarefas!C:C)</f>
        <v>Programa de Melhorias</v>
      </c>
      <c r="D91" t="s">
        <v>28</v>
      </c>
      <c r="E91" t="s">
        <v>39</v>
      </c>
      <c r="F91" t="s">
        <v>30</v>
      </c>
      <c r="G91" t="s">
        <v>144</v>
      </c>
      <c r="H91" t="s">
        <v>144</v>
      </c>
      <c r="I91" t="s">
        <v>194</v>
      </c>
      <c r="J91" t="s">
        <v>298</v>
      </c>
      <c r="K91" t="s">
        <v>212</v>
      </c>
      <c r="L91" t="s">
        <v>28</v>
      </c>
      <c r="M91" t="s">
        <v>35</v>
      </c>
      <c r="N91" t="s">
        <v>216</v>
      </c>
      <c r="O91" t="s">
        <v>144</v>
      </c>
      <c r="P91" t="s">
        <v>359</v>
      </c>
      <c r="Q91" t="s">
        <v>360</v>
      </c>
      <c r="R91" t="s">
        <v>28</v>
      </c>
      <c r="T91">
        <v>715.98</v>
      </c>
    </row>
    <row r="92" spans="1:20" x14ac:dyDescent="0.25">
      <c r="A92" t="s">
        <v>361</v>
      </c>
      <c r="B92" t="s">
        <v>362</v>
      </c>
      <c r="C92" t="str">
        <f>_xlfn.XLOOKUP(A92,Tarefas!A:A,Tarefas!C:C)</f>
        <v>MTM/Impressão 3D</v>
      </c>
      <c r="D92" t="s">
        <v>28</v>
      </c>
      <c r="E92" t="s">
        <v>39</v>
      </c>
      <c r="F92" t="s">
        <v>30</v>
      </c>
      <c r="G92" t="s">
        <v>193</v>
      </c>
      <c r="H92" t="s">
        <v>193</v>
      </c>
      <c r="I92" t="s">
        <v>194</v>
      </c>
      <c r="J92" t="s">
        <v>187</v>
      </c>
      <c r="K92" t="s">
        <v>277</v>
      </c>
      <c r="L92" t="s">
        <v>28</v>
      </c>
      <c r="M92" t="s">
        <v>35</v>
      </c>
      <c r="N92" t="s">
        <v>187</v>
      </c>
      <c r="O92" t="s">
        <v>40</v>
      </c>
      <c r="P92" t="s">
        <v>28</v>
      </c>
      <c r="Q92" t="s">
        <v>28</v>
      </c>
      <c r="R92" t="s">
        <v>28</v>
      </c>
      <c r="T92">
        <v>671.96</v>
      </c>
    </row>
    <row r="93" spans="1:20" x14ac:dyDescent="0.25">
      <c r="A93" t="s">
        <v>363</v>
      </c>
      <c r="B93" t="s">
        <v>364</v>
      </c>
      <c r="C93" t="str">
        <f>_xlfn.XLOOKUP(A93,Tarefas!A:A,Tarefas!C:C)</f>
        <v>MTM/Impressão 3D</v>
      </c>
      <c r="D93" t="s">
        <v>28</v>
      </c>
      <c r="E93" t="s">
        <v>39</v>
      </c>
      <c r="F93" t="s">
        <v>30</v>
      </c>
      <c r="G93" t="s">
        <v>193</v>
      </c>
      <c r="H93" t="s">
        <v>193</v>
      </c>
      <c r="I93" t="s">
        <v>194</v>
      </c>
      <c r="J93" t="s">
        <v>187</v>
      </c>
      <c r="K93" t="s">
        <v>277</v>
      </c>
      <c r="L93" t="s">
        <v>28</v>
      </c>
      <c r="M93" t="s">
        <v>35</v>
      </c>
      <c r="N93" t="s">
        <v>187</v>
      </c>
      <c r="O93" t="s">
        <v>40</v>
      </c>
      <c r="P93" t="s">
        <v>28</v>
      </c>
      <c r="Q93" t="s">
        <v>28</v>
      </c>
      <c r="R93" t="s">
        <v>28</v>
      </c>
      <c r="T93">
        <v>516.5</v>
      </c>
    </row>
    <row r="94" spans="1:20" x14ac:dyDescent="0.25">
      <c r="A94" t="s">
        <v>365</v>
      </c>
      <c r="B94" t="s">
        <v>366</v>
      </c>
      <c r="C94" t="str">
        <f>_xlfn.XLOOKUP(A94,Tarefas!A:A,Tarefas!C:C)</f>
        <v>Pendências Fechamento de Indicadores</v>
      </c>
      <c r="D94" t="s">
        <v>28</v>
      </c>
      <c r="E94" t="s">
        <v>39</v>
      </c>
      <c r="F94" t="s">
        <v>30</v>
      </c>
      <c r="G94" t="s">
        <v>193</v>
      </c>
      <c r="H94" t="s">
        <v>193</v>
      </c>
      <c r="I94" t="s">
        <v>187</v>
      </c>
      <c r="J94" t="s">
        <v>303</v>
      </c>
      <c r="K94" t="s">
        <v>285</v>
      </c>
      <c r="L94" t="s">
        <v>28</v>
      </c>
      <c r="M94" t="s">
        <v>35</v>
      </c>
      <c r="N94" t="s">
        <v>216</v>
      </c>
      <c r="O94" t="s">
        <v>40</v>
      </c>
      <c r="P94" t="s">
        <v>367</v>
      </c>
      <c r="Q94" t="s">
        <v>368</v>
      </c>
      <c r="R94" t="s">
        <v>28</v>
      </c>
      <c r="T94">
        <v>34.49</v>
      </c>
    </row>
    <row r="95" spans="1:20" x14ac:dyDescent="0.25">
      <c r="A95" t="s">
        <v>369</v>
      </c>
      <c r="B95" t="s">
        <v>370</v>
      </c>
      <c r="C95" t="str">
        <f>_xlfn.XLOOKUP(A95,Tarefas!A:A,Tarefas!C:C)</f>
        <v>MTM/Impressão 3D</v>
      </c>
      <c r="D95" t="s">
        <v>28</v>
      </c>
      <c r="E95" t="s">
        <v>39</v>
      </c>
      <c r="F95" t="s">
        <v>30</v>
      </c>
      <c r="G95" t="s">
        <v>193</v>
      </c>
      <c r="H95" t="s">
        <v>193</v>
      </c>
      <c r="I95" t="s">
        <v>187</v>
      </c>
      <c r="J95" t="s">
        <v>187</v>
      </c>
      <c r="K95" t="s">
        <v>277</v>
      </c>
      <c r="L95" t="s">
        <v>28</v>
      </c>
      <c r="M95" t="s">
        <v>35</v>
      </c>
      <c r="N95" t="s">
        <v>187</v>
      </c>
      <c r="O95" t="s">
        <v>40</v>
      </c>
      <c r="P95" t="s">
        <v>28</v>
      </c>
      <c r="Q95" t="s">
        <v>28</v>
      </c>
      <c r="R95" t="s">
        <v>28</v>
      </c>
      <c r="T95">
        <v>504.98</v>
      </c>
    </row>
    <row r="96" spans="1:20" x14ac:dyDescent="0.25">
      <c r="A96" t="s">
        <v>371</v>
      </c>
      <c r="B96" t="s">
        <v>372</v>
      </c>
      <c r="C96" t="str">
        <f>_xlfn.XLOOKUP(A96,Tarefas!A:A,Tarefas!C:C)</f>
        <v>MTM/Impressão 3D</v>
      </c>
      <c r="D96" t="s">
        <v>28</v>
      </c>
      <c r="E96" t="s">
        <v>39</v>
      </c>
      <c r="F96" t="s">
        <v>30</v>
      </c>
      <c r="G96" t="s">
        <v>193</v>
      </c>
      <c r="H96" t="s">
        <v>193</v>
      </c>
      <c r="I96" t="s">
        <v>187</v>
      </c>
      <c r="J96" t="s">
        <v>187</v>
      </c>
      <c r="K96" t="s">
        <v>277</v>
      </c>
      <c r="L96" t="s">
        <v>28</v>
      </c>
      <c r="M96" t="s">
        <v>35</v>
      </c>
      <c r="N96" t="s">
        <v>187</v>
      </c>
      <c r="O96" t="s">
        <v>40</v>
      </c>
      <c r="P96" t="s">
        <v>28</v>
      </c>
      <c r="Q96" t="s">
        <v>28</v>
      </c>
      <c r="R96" t="s">
        <v>28</v>
      </c>
      <c r="T96">
        <v>990.77</v>
      </c>
    </row>
    <row r="97" spans="1:20" x14ac:dyDescent="0.25">
      <c r="A97" t="s">
        <v>373</v>
      </c>
      <c r="B97" t="s">
        <v>374</v>
      </c>
      <c r="C97" t="str">
        <f>_xlfn.XLOOKUP(A97,Tarefas!A:A,Tarefas!C:C)</f>
        <v>SMED</v>
      </c>
      <c r="D97" t="s">
        <v>28</v>
      </c>
      <c r="E97" t="s">
        <v>39</v>
      </c>
      <c r="F97" t="s">
        <v>30</v>
      </c>
      <c r="G97" t="s">
        <v>28</v>
      </c>
      <c r="H97" t="s">
        <v>28</v>
      </c>
      <c r="I97" t="s">
        <v>187</v>
      </c>
      <c r="J97" t="s">
        <v>187</v>
      </c>
      <c r="K97" t="s">
        <v>277</v>
      </c>
      <c r="L97" t="s">
        <v>28</v>
      </c>
      <c r="M97" t="s">
        <v>35</v>
      </c>
      <c r="N97" t="s">
        <v>187</v>
      </c>
      <c r="O97" t="s">
        <v>28</v>
      </c>
      <c r="P97" t="s">
        <v>28</v>
      </c>
      <c r="Q97" t="s">
        <v>28</v>
      </c>
      <c r="R97" t="s">
        <v>28</v>
      </c>
      <c r="T97">
        <v>9.8000000000000007</v>
      </c>
    </row>
    <row r="98" spans="1:20" x14ac:dyDescent="0.25">
      <c r="A98" t="s">
        <v>375</v>
      </c>
      <c r="B98" t="s">
        <v>376</v>
      </c>
      <c r="C98" t="str">
        <f>_xlfn.XLOOKUP(A98,Tarefas!A:A,Tarefas!C:C)</f>
        <v>SMED</v>
      </c>
      <c r="D98" t="s">
        <v>28</v>
      </c>
      <c r="E98" t="s">
        <v>123</v>
      </c>
      <c r="F98" t="s">
        <v>30</v>
      </c>
      <c r="G98" t="s">
        <v>28</v>
      </c>
      <c r="H98" t="s">
        <v>28</v>
      </c>
      <c r="I98" t="s">
        <v>187</v>
      </c>
      <c r="J98" t="s">
        <v>218</v>
      </c>
      <c r="K98" t="s">
        <v>138</v>
      </c>
      <c r="L98" t="s">
        <v>28</v>
      </c>
      <c r="M98" t="s">
        <v>128</v>
      </c>
      <c r="N98" t="s">
        <v>28</v>
      </c>
      <c r="O98" t="s">
        <v>28</v>
      </c>
      <c r="P98" t="s">
        <v>377</v>
      </c>
      <c r="Q98" t="s">
        <v>378</v>
      </c>
      <c r="R98" t="s">
        <v>28</v>
      </c>
      <c r="T98">
        <v>833.24</v>
      </c>
    </row>
    <row r="99" spans="1:20" x14ac:dyDescent="0.25">
      <c r="A99" t="s">
        <v>379</v>
      </c>
      <c r="B99" t="s">
        <v>380</v>
      </c>
      <c r="C99" t="str">
        <f>_xlfn.XLOOKUP(A99,Tarefas!A:A,Tarefas!C:C)</f>
        <v>MOI, MOA, MODS</v>
      </c>
      <c r="D99" t="s">
        <v>28</v>
      </c>
      <c r="E99" t="s">
        <v>29</v>
      </c>
      <c r="F99" t="s">
        <v>124</v>
      </c>
      <c r="G99" t="s">
        <v>125</v>
      </c>
      <c r="H99" t="s">
        <v>125</v>
      </c>
      <c r="I99" t="s">
        <v>187</v>
      </c>
      <c r="J99" t="s">
        <v>230</v>
      </c>
      <c r="K99" t="s">
        <v>285</v>
      </c>
      <c r="L99" t="s">
        <v>28</v>
      </c>
      <c r="M99" t="s">
        <v>35</v>
      </c>
      <c r="N99" t="s">
        <v>28</v>
      </c>
      <c r="O99" t="s">
        <v>28</v>
      </c>
      <c r="P99" t="s">
        <v>381</v>
      </c>
      <c r="Q99" t="s">
        <v>382</v>
      </c>
      <c r="R99" t="s">
        <v>131</v>
      </c>
      <c r="T99">
        <v>784.14</v>
      </c>
    </row>
    <row r="100" spans="1:20" x14ac:dyDescent="0.25">
      <c r="A100" t="s">
        <v>383</v>
      </c>
      <c r="B100" t="s">
        <v>384</v>
      </c>
      <c r="C100" t="str">
        <f>_xlfn.XLOOKUP(A100,Tarefas!A:A,Tarefas!C:C)</f>
        <v>SMED</v>
      </c>
      <c r="D100" t="s">
        <v>28</v>
      </c>
      <c r="E100" t="s">
        <v>29</v>
      </c>
      <c r="F100" t="s">
        <v>30</v>
      </c>
      <c r="G100" t="s">
        <v>385</v>
      </c>
      <c r="H100" t="s">
        <v>385</v>
      </c>
      <c r="I100" t="s">
        <v>187</v>
      </c>
      <c r="J100" t="s">
        <v>303</v>
      </c>
      <c r="K100" t="s">
        <v>285</v>
      </c>
      <c r="L100" t="s">
        <v>28</v>
      </c>
      <c r="M100" t="s">
        <v>128</v>
      </c>
      <c r="N100" t="s">
        <v>28</v>
      </c>
      <c r="O100" t="s">
        <v>28</v>
      </c>
      <c r="P100" t="s">
        <v>208</v>
      </c>
      <c r="Q100" t="s">
        <v>386</v>
      </c>
      <c r="R100" t="s">
        <v>387</v>
      </c>
      <c r="T100">
        <v>764.24</v>
      </c>
    </row>
    <row r="101" spans="1:20" x14ac:dyDescent="0.25">
      <c r="A101" t="s">
        <v>388</v>
      </c>
      <c r="B101" t="s">
        <v>389</v>
      </c>
      <c r="C101" t="str">
        <f>_xlfn.XLOOKUP(A101,Tarefas!A:A,Tarefas!C:C)</f>
        <v>SMED</v>
      </c>
      <c r="D101" t="s">
        <v>28</v>
      </c>
      <c r="E101" t="s">
        <v>29</v>
      </c>
      <c r="F101" t="s">
        <v>30</v>
      </c>
      <c r="G101" t="s">
        <v>28</v>
      </c>
      <c r="H101" t="s">
        <v>28</v>
      </c>
      <c r="I101" t="s">
        <v>187</v>
      </c>
      <c r="J101" t="s">
        <v>218</v>
      </c>
      <c r="K101" t="s">
        <v>28</v>
      </c>
      <c r="L101" t="s">
        <v>28</v>
      </c>
      <c r="M101" t="s">
        <v>128</v>
      </c>
      <c r="N101" t="s">
        <v>28</v>
      </c>
      <c r="O101" t="s">
        <v>28</v>
      </c>
      <c r="P101" t="s">
        <v>268</v>
      </c>
      <c r="Q101" t="s">
        <v>390</v>
      </c>
      <c r="R101" t="s">
        <v>28</v>
      </c>
      <c r="T101">
        <v>16.66</v>
      </c>
    </row>
    <row r="102" spans="1:20" x14ac:dyDescent="0.25">
      <c r="A102" t="s">
        <v>391</v>
      </c>
      <c r="B102" t="s">
        <v>392</v>
      </c>
      <c r="C102" t="str">
        <f>_xlfn.XLOOKUP(A102,Tarefas!A:A,Tarefas!C:C)</f>
        <v>MOI, MOA, MODS</v>
      </c>
      <c r="D102" t="s">
        <v>28</v>
      </c>
      <c r="E102" t="s">
        <v>39</v>
      </c>
      <c r="F102" t="s">
        <v>30</v>
      </c>
      <c r="G102" t="s">
        <v>385</v>
      </c>
      <c r="H102" t="s">
        <v>385</v>
      </c>
      <c r="I102" t="s">
        <v>187</v>
      </c>
      <c r="J102" t="s">
        <v>303</v>
      </c>
      <c r="K102" t="s">
        <v>285</v>
      </c>
      <c r="L102" t="s">
        <v>28</v>
      </c>
      <c r="M102" t="s">
        <v>35</v>
      </c>
      <c r="N102" t="s">
        <v>216</v>
      </c>
      <c r="O102" t="s">
        <v>40</v>
      </c>
      <c r="P102" t="s">
        <v>393</v>
      </c>
      <c r="Q102" t="s">
        <v>394</v>
      </c>
      <c r="R102" t="s">
        <v>387</v>
      </c>
      <c r="T102">
        <v>556.80999999999995</v>
      </c>
    </row>
    <row r="103" spans="1:20" x14ac:dyDescent="0.25">
      <c r="A103" t="s">
        <v>395</v>
      </c>
      <c r="B103" t="s">
        <v>396</v>
      </c>
      <c r="C103" t="str">
        <f>_xlfn.XLOOKUP(A103,Tarefas!A:A,Tarefas!C:C)</f>
        <v>Padronizações/Certificações</v>
      </c>
      <c r="D103" t="s">
        <v>28</v>
      </c>
      <c r="E103" t="s">
        <v>29</v>
      </c>
      <c r="F103" t="s">
        <v>30</v>
      </c>
      <c r="G103" t="s">
        <v>193</v>
      </c>
      <c r="H103" t="s">
        <v>193</v>
      </c>
      <c r="I103" t="s">
        <v>187</v>
      </c>
      <c r="J103" t="s">
        <v>303</v>
      </c>
      <c r="K103" t="s">
        <v>285</v>
      </c>
      <c r="L103" t="s">
        <v>28</v>
      </c>
      <c r="M103" t="s">
        <v>128</v>
      </c>
      <c r="N103" t="s">
        <v>28</v>
      </c>
      <c r="O103" t="s">
        <v>28</v>
      </c>
      <c r="P103" t="s">
        <v>28</v>
      </c>
      <c r="Q103" t="s">
        <v>28</v>
      </c>
      <c r="R103" t="s">
        <v>28</v>
      </c>
      <c r="T103">
        <v>436.44</v>
      </c>
    </row>
    <row r="104" spans="1:20" x14ac:dyDescent="0.25">
      <c r="A104" t="s">
        <v>397</v>
      </c>
      <c r="B104" t="s">
        <v>398</v>
      </c>
      <c r="C104" t="str">
        <f>_xlfn.XLOOKUP(A104,Tarefas!A:A,Tarefas!C:C)</f>
        <v>Padronizações/Certificações</v>
      </c>
      <c r="D104" t="s">
        <v>28</v>
      </c>
      <c r="E104" t="s">
        <v>29</v>
      </c>
      <c r="F104" t="s">
        <v>30</v>
      </c>
      <c r="G104" t="s">
        <v>193</v>
      </c>
      <c r="H104" t="s">
        <v>193</v>
      </c>
      <c r="I104" t="s">
        <v>187</v>
      </c>
      <c r="J104" t="s">
        <v>303</v>
      </c>
      <c r="K104" t="s">
        <v>285</v>
      </c>
      <c r="L104" t="s">
        <v>28</v>
      </c>
      <c r="M104" t="s">
        <v>128</v>
      </c>
      <c r="N104" t="s">
        <v>28</v>
      </c>
      <c r="O104" t="s">
        <v>28</v>
      </c>
      <c r="P104" t="s">
        <v>28</v>
      </c>
      <c r="Q104" t="s">
        <v>28</v>
      </c>
      <c r="R104" t="s">
        <v>28</v>
      </c>
      <c r="T104">
        <v>433.95</v>
      </c>
    </row>
    <row r="105" spans="1:20" x14ac:dyDescent="0.25">
      <c r="A105" t="s">
        <v>399</v>
      </c>
      <c r="B105" t="s">
        <v>400</v>
      </c>
      <c r="C105" t="str">
        <f>_xlfn.XLOOKUP(A105,Tarefas!A:A,Tarefas!C:C)</f>
        <v>SMED</v>
      </c>
      <c r="D105" t="s">
        <v>28</v>
      </c>
      <c r="E105" t="s">
        <v>29</v>
      </c>
      <c r="F105" t="s">
        <v>30</v>
      </c>
      <c r="G105" t="s">
        <v>401</v>
      </c>
      <c r="H105" t="s">
        <v>401</v>
      </c>
      <c r="I105" t="s">
        <v>187</v>
      </c>
      <c r="J105" t="s">
        <v>137</v>
      </c>
      <c r="K105" t="s">
        <v>402</v>
      </c>
      <c r="L105" t="s">
        <v>28</v>
      </c>
      <c r="M105" t="s">
        <v>35</v>
      </c>
      <c r="N105" t="s">
        <v>28</v>
      </c>
      <c r="O105" t="s">
        <v>28</v>
      </c>
      <c r="P105" t="s">
        <v>403</v>
      </c>
      <c r="Q105" t="s">
        <v>404</v>
      </c>
      <c r="R105" t="s">
        <v>28</v>
      </c>
      <c r="T105">
        <v>428.58</v>
      </c>
    </row>
    <row r="106" spans="1:20" x14ac:dyDescent="0.25">
      <c r="A106" t="s">
        <v>405</v>
      </c>
      <c r="B106" t="s">
        <v>406</v>
      </c>
      <c r="C106" t="str">
        <f>_xlfn.XLOOKUP(A106,Tarefas!A:A,Tarefas!C:C)</f>
        <v>MTM/Impressão 3D</v>
      </c>
      <c r="D106" t="s">
        <v>28</v>
      </c>
      <c r="E106" t="s">
        <v>39</v>
      </c>
      <c r="F106" t="s">
        <v>30</v>
      </c>
      <c r="G106" t="s">
        <v>193</v>
      </c>
      <c r="H106" t="s">
        <v>193</v>
      </c>
      <c r="I106" t="s">
        <v>285</v>
      </c>
      <c r="J106" t="s">
        <v>303</v>
      </c>
      <c r="K106" t="s">
        <v>285</v>
      </c>
      <c r="L106" t="s">
        <v>28</v>
      </c>
      <c r="M106" t="s">
        <v>35</v>
      </c>
      <c r="N106" t="s">
        <v>298</v>
      </c>
      <c r="O106" t="s">
        <v>193</v>
      </c>
      <c r="P106" t="s">
        <v>28</v>
      </c>
      <c r="Q106" t="s">
        <v>28</v>
      </c>
      <c r="R106" t="s">
        <v>28</v>
      </c>
      <c r="T106">
        <v>511.6</v>
      </c>
    </row>
    <row r="107" spans="1:20" x14ac:dyDescent="0.25">
      <c r="A107" t="s">
        <v>407</v>
      </c>
      <c r="B107" t="s">
        <v>408</v>
      </c>
      <c r="C107" t="str">
        <f>_xlfn.XLOOKUP(A107,Tarefas!A:A,Tarefas!C:C)</f>
        <v>Pendências Fechamento de Indicadores</v>
      </c>
      <c r="D107" t="s">
        <v>28</v>
      </c>
      <c r="E107" t="s">
        <v>29</v>
      </c>
      <c r="F107" t="s">
        <v>30</v>
      </c>
      <c r="G107" t="s">
        <v>193</v>
      </c>
      <c r="H107" t="s">
        <v>193</v>
      </c>
      <c r="I107" t="s">
        <v>285</v>
      </c>
      <c r="J107" t="s">
        <v>303</v>
      </c>
      <c r="K107" t="s">
        <v>285</v>
      </c>
      <c r="L107" t="s">
        <v>28</v>
      </c>
      <c r="M107" t="s">
        <v>128</v>
      </c>
      <c r="N107" t="s">
        <v>28</v>
      </c>
      <c r="O107" t="s">
        <v>28</v>
      </c>
      <c r="P107" t="s">
        <v>409</v>
      </c>
      <c r="Q107" t="s">
        <v>410</v>
      </c>
      <c r="R107" t="s">
        <v>28</v>
      </c>
      <c r="T107">
        <v>994.97</v>
      </c>
    </row>
    <row r="108" spans="1:20" x14ac:dyDescent="0.25">
      <c r="A108" t="s">
        <v>411</v>
      </c>
      <c r="B108" t="s">
        <v>412</v>
      </c>
      <c r="C108" t="str">
        <f>_xlfn.XLOOKUP(A108,Tarefas!A:A,Tarefas!C:C)</f>
        <v>MTM/Impressão 3D</v>
      </c>
      <c r="D108" t="s">
        <v>28</v>
      </c>
      <c r="E108" t="s">
        <v>39</v>
      </c>
      <c r="F108" t="s">
        <v>30</v>
      </c>
      <c r="G108" t="s">
        <v>193</v>
      </c>
      <c r="H108" t="s">
        <v>193</v>
      </c>
      <c r="I108" t="s">
        <v>285</v>
      </c>
      <c r="J108" t="s">
        <v>216</v>
      </c>
      <c r="K108" t="s">
        <v>298</v>
      </c>
      <c r="L108" t="s">
        <v>28</v>
      </c>
      <c r="M108" t="s">
        <v>35</v>
      </c>
      <c r="N108" t="s">
        <v>216</v>
      </c>
      <c r="O108" t="s">
        <v>40</v>
      </c>
      <c r="P108" t="s">
        <v>28</v>
      </c>
      <c r="Q108" t="s">
        <v>28</v>
      </c>
      <c r="R108" t="s">
        <v>28</v>
      </c>
      <c r="T108">
        <v>662.67</v>
      </c>
    </row>
    <row r="109" spans="1:20" x14ac:dyDescent="0.25">
      <c r="A109" t="s">
        <v>413</v>
      </c>
      <c r="B109" t="s">
        <v>414</v>
      </c>
      <c r="C109" t="str">
        <f>_xlfn.XLOOKUP(A109,Tarefas!A:A,Tarefas!C:C)</f>
        <v>RPA</v>
      </c>
      <c r="D109" t="s">
        <v>28</v>
      </c>
      <c r="E109" t="s">
        <v>39</v>
      </c>
      <c r="F109" t="s">
        <v>30</v>
      </c>
      <c r="G109" t="s">
        <v>186</v>
      </c>
      <c r="H109" t="s">
        <v>186</v>
      </c>
      <c r="I109" t="s">
        <v>402</v>
      </c>
      <c r="J109" t="s">
        <v>303</v>
      </c>
      <c r="K109" t="s">
        <v>28</v>
      </c>
      <c r="L109" t="s">
        <v>28</v>
      </c>
      <c r="M109" t="s">
        <v>35</v>
      </c>
      <c r="N109" t="s">
        <v>216</v>
      </c>
      <c r="O109" t="s">
        <v>144</v>
      </c>
      <c r="P109" t="s">
        <v>28</v>
      </c>
      <c r="Q109" t="s">
        <v>28</v>
      </c>
      <c r="R109" t="s">
        <v>28</v>
      </c>
      <c r="T109">
        <v>168.18</v>
      </c>
    </row>
    <row r="110" spans="1:20" x14ac:dyDescent="0.25">
      <c r="A110" t="s">
        <v>415</v>
      </c>
      <c r="B110" t="s">
        <v>416</v>
      </c>
      <c r="C110" t="str">
        <f>_xlfn.XLOOKUP(A110,Tarefas!A:A,Tarefas!C:C)</f>
        <v>MTM/Impressão 3D</v>
      </c>
      <c r="D110" t="s">
        <v>28</v>
      </c>
      <c r="E110" t="s">
        <v>39</v>
      </c>
      <c r="F110" t="s">
        <v>30</v>
      </c>
      <c r="G110" t="s">
        <v>193</v>
      </c>
      <c r="H110" t="s">
        <v>193</v>
      </c>
      <c r="I110" t="s">
        <v>402</v>
      </c>
      <c r="J110" t="s">
        <v>303</v>
      </c>
      <c r="K110" t="s">
        <v>285</v>
      </c>
      <c r="L110" t="s">
        <v>28</v>
      </c>
      <c r="M110" t="s">
        <v>35</v>
      </c>
      <c r="N110" t="s">
        <v>298</v>
      </c>
      <c r="O110" t="s">
        <v>193</v>
      </c>
      <c r="P110" t="s">
        <v>28</v>
      </c>
      <c r="Q110" t="s">
        <v>28</v>
      </c>
      <c r="R110" t="s">
        <v>28</v>
      </c>
      <c r="T110">
        <v>631.94000000000005</v>
      </c>
    </row>
    <row r="111" spans="1:20" x14ac:dyDescent="0.25">
      <c r="A111" t="s">
        <v>417</v>
      </c>
      <c r="B111" t="s">
        <v>418</v>
      </c>
      <c r="C111" t="str">
        <f>_xlfn.XLOOKUP(A111,Tarefas!A:A,Tarefas!C:C)</f>
        <v>SMED</v>
      </c>
      <c r="D111" t="s">
        <v>28</v>
      </c>
      <c r="E111" t="s">
        <v>39</v>
      </c>
      <c r="F111" t="s">
        <v>30</v>
      </c>
      <c r="G111" t="s">
        <v>28</v>
      </c>
      <c r="H111" t="s">
        <v>28</v>
      </c>
      <c r="I111" t="s">
        <v>402</v>
      </c>
      <c r="J111" t="s">
        <v>402</v>
      </c>
      <c r="K111" t="s">
        <v>28</v>
      </c>
      <c r="L111" t="s">
        <v>28</v>
      </c>
      <c r="M111" t="s">
        <v>35</v>
      </c>
      <c r="N111" t="s">
        <v>402</v>
      </c>
      <c r="O111" t="s">
        <v>28</v>
      </c>
      <c r="P111" t="s">
        <v>94</v>
      </c>
      <c r="Q111" t="s">
        <v>419</v>
      </c>
      <c r="R111" t="s">
        <v>28</v>
      </c>
      <c r="T111">
        <v>439.02</v>
      </c>
    </row>
    <row r="112" spans="1:20" x14ac:dyDescent="0.25">
      <c r="A112" t="s">
        <v>420</v>
      </c>
      <c r="B112" t="s">
        <v>421</v>
      </c>
      <c r="C112" t="str">
        <f>_xlfn.XLOOKUP(A112,Tarefas!A:A,Tarefas!C:C)</f>
        <v>SMED</v>
      </c>
      <c r="D112" t="s">
        <v>28</v>
      </c>
      <c r="E112" t="s">
        <v>39</v>
      </c>
      <c r="F112" t="s">
        <v>30</v>
      </c>
      <c r="G112" t="s">
        <v>28</v>
      </c>
      <c r="H112" t="s">
        <v>28</v>
      </c>
      <c r="I112" t="s">
        <v>402</v>
      </c>
      <c r="J112" t="s">
        <v>303</v>
      </c>
      <c r="K112" t="s">
        <v>28</v>
      </c>
      <c r="L112" t="s">
        <v>28</v>
      </c>
      <c r="M112" t="s">
        <v>35</v>
      </c>
      <c r="N112" t="s">
        <v>402</v>
      </c>
      <c r="O112" t="s">
        <v>28</v>
      </c>
      <c r="P112" t="s">
        <v>94</v>
      </c>
      <c r="Q112" t="s">
        <v>422</v>
      </c>
      <c r="R112" t="s">
        <v>28</v>
      </c>
      <c r="T112">
        <v>187.59</v>
      </c>
    </row>
    <row r="113" spans="1:20" x14ac:dyDescent="0.25">
      <c r="A113" t="s">
        <v>423</v>
      </c>
      <c r="B113" t="s">
        <v>424</v>
      </c>
      <c r="C113" t="str">
        <f>_xlfn.XLOOKUP(A113,Tarefas!A:A,Tarefas!C:C)</f>
        <v>Padronizações/Certificações</v>
      </c>
      <c r="D113" t="s">
        <v>28</v>
      </c>
      <c r="E113" t="s">
        <v>123</v>
      </c>
      <c r="F113" t="s">
        <v>30</v>
      </c>
      <c r="G113" t="s">
        <v>425</v>
      </c>
      <c r="H113" t="s">
        <v>235</v>
      </c>
      <c r="I113" t="s">
        <v>42</v>
      </c>
      <c r="J113" t="s">
        <v>137</v>
      </c>
      <c r="K113" t="s">
        <v>194</v>
      </c>
      <c r="L113" t="s">
        <v>28</v>
      </c>
      <c r="M113" t="s">
        <v>35</v>
      </c>
      <c r="N113" t="s">
        <v>28</v>
      </c>
      <c r="O113" t="s">
        <v>28</v>
      </c>
      <c r="P113" t="s">
        <v>403</v>
      </c>
      <c r="Q113" t="s">
        <v>426</v>
      </c>
      <c r="R113" t="s">
        <v>28</v>
      </c>
      <c r="T113">
        <v>550.34</v>
      </c>
    </row>
    <row r="114" spans="1:20" x14ac:dyDescent="0.25">
      <c r="A114" t="s">
        <v>427</v>
      </c>
      <c r="B114" t="s">
        <v>428</v>
      </c>
      <c r="C114" t="str">
        <f>_xlfn.XLOOKUP(A114,Tarefas!A:A,Tarefas!C:C)</f>
        <v>Padronizações/Certificações</v>
      </c>
      <c r="D114" t="s">
        <v>28</v>
      </c>
      <c r="E114" t="s">
        <v>39</v>
      </c>
      <c r="F114" t="s">
        <v>30</v>
      </c>
      <c r="G114" t="s">
        <v>28</v>
      </c>
      <c r="H114" t="s">
        <v>235</v>
      </c>
      <c r="I114" t="s">
        <v>42</v>
      </c>
      <c r="J114" t="s">
        <v>28</v>
      </c>
      <c r="K114" t="s">
        <v>28</v>
      </c>
      <c r="L114" t="s">
        <v>28</v>
      </c>
      <c r="M114" t="s">
        <v>35</v>
      </c>
      <c r="N114" t="s">
        <v>42</v>
      </c>
      <c r="O114" t="s">
        <v>235</v>
      </c>
      <c r="P114" t="s">
        <v>28</v>
      </c>
      <c r="Q114" t="s">
        <v>28</v>
      </c>
      <c r="R114" t="s">
        <v>28</v>
      </c>
      <c r="T114">
        <v>339.28</v>
      </c>
    </row>
    <row r="115" spans="1:20" x14ac:dyDescent="0.25">
      <c r="A115" t="s">
        <v>429</v>
      </c>
      <c r="B115" t="s">
        <v>430</v>
      </c>
      <c r="C115" t="str">
        <f>_xlfn.XLOOKUP(A115,Tarefas!A:A,Tarefas!C:C)</f>
        <v>SMED</v>
      </c>
      <c r="D115" t="s">
        <v>28</v>
      </c>
      <c r="E115" t="s">
        <v>123</v>
      </c>
      <c r="F115" t="s">
        <v>30</v>
      </c>
      <c r="G115" t="s">
        <v>302</v>
      </c>
      <c r="H115" t="s">
        <v>302</v>
      </c>
      <c r="I115" t="s">
        <v>33</v>
      </c>
      <c r="J115" t="s">
        <v>216</v>
      </c>
      <c r="K115" t="s">
        <v>298</v>
      </c>
      <c r="L115" t="s">
        <v>28</v>
      </c>
      <c r="M115" t="s">
        <v>128</v>
      </c>
      <c r="N115" t="s">
        <v>28</v>
      </c>
      <c r="O115" t="s">
        <v>28</v>
      </c>
      <c r="P115" t="s">
        <v>146</v>
      </c>
      <c r="Q115" t="s">
        <v>431</v>
      </c>
      <c r="R115" t="s">
        <v>28</v>
      </c>
      <c r="T115">
        <v>316.27999999999997</v>
      </c>
    </row>
    <row r="116" spans="1:20" x14ac:dyDescent="0.25">
      <c r="A116" t="s">
        <v>432</v>
      </c>
      <c r="B116" t="s">
        <v>433</v>
      </c>
      <c r="C116" t="str">
        <f>_xlfn.XLOOKUP(A116,Tarefas!A:A,Tarefas!C:C)</f>
        <v>MTM/Impressão 3D</v>
      </c>
      <c r="D116" t="s">
        <v>28</v>
      </c>
      <c r="E116" t="s">
        <v>39</v>
      </c>
      <c r="F116" t="s">
        <v>30</v>
      </c>
      <c r="G116" t="s">
        <v>193</v>
      </c>
      <c r="H116" t="s">
        <v>193</v>
      </c>
      <c r="I116" t="s">
        <v>33</v>
      </c>
      <c r="J116" t="s">
        <v>303</v>
      </c>
      <c r="K116" t="s">
        <v>285</v>
      </c>
      <c r="L116" t="s">
        <v>28</v>
      </c>
      <c r="M116" t="s">
        <v>35</v>
      </c>
      <c r="N116" t="s">
        <v>298</v>
      </c>
      <c r="O116" t="s">
        <v>193</v>
      </c>
      <c r="P116" t="s">
        <v>28</v>
      </c>
      <c r="Q116" t="s">
        <v>28</v>
      </c>
      <c r="R116" t="s">
        <v>28</v>
      </c>
      <c r="T116">
        <v>859.87</v>
      </c>
    </row>
    <row r="117" spans="1:20" x14ac:dyDescent="0.25">
      <c r="A117" t="s">
        <v>434</v>
      </c>
      <c r="B117" t="s">
        <v>435</v>
      </c>
      <c r="C117" t="str">
        <f>_xlfn.XLOOKUP(A117,Tarefas!A:A,Tarefas!C:C)</f>
        <v>MTM/Impressão 3D</v>
      </c>
      <c r="D117" t="s">
        <v>28</v>
      </c>
      <c r="E117" t="s">
        <v>39</v>
      </c>
      <c r="F117" t="s">
        <v>30</v>
      </c>
      <c r="G117" t="s">
        <v>193</v>
      </c>
      <c r="H117" t="s">
        <v>193</v>
      </c>
      <c r="I117" t="s">
        <v>33</v>
      </c>
      <c r="J117" t="s">
        <v>216</v>
      </c>
      <c r="K117" t="s">
        <v>298</v>
      </c>
      <c r="L117" t="s">
        <v>28</v>
      </c>
      <c r="M117" t="s">
        <v>35</v>
      </c>
      <c r="N117" t="s">
        <v>216</v>
      </c>
      <c r="O117" t="s">
        <v>40</v>
      </c>
      <c r="P117" t="s">
        <v>28</v>
      </c>
      <c r="Q117" t="s">
        <v>28</v>
      </c>
      <c r="R117" t="s">
        <v>28</v>
      </c>
      <c r="T117">
        <v>442.41</v>
      </c>
    </row>
    <row r="118" spans="1:20" x14ac:dyDescent="0.25">
      <c r="A118" t="s">
        <v>436</v>
      </c>
      <c r="B118" t="s">
        <v>437</v>
      </c>
      <c r="C118" t="str">
        <f>_xlfn.XLOOKUP(A118,Tarefas!A:A,Tarefas!C:C)</f>
        <v>MTM/Impressão 3D</v>
      </c>
      <c r="D118" t="s">
        <v>28</v>
      </c>
      <c r="E118" t="s">
        <v>39</v>
      </c>
      <c r="F118" t="s">
        <v>30</v>
      </c>
      <c r="G118" t="s">
        <v>193</v>
      </c>
      <c r="H118" t="s">
        <v>193</v>
      </c>
      <c r="I118" t="s">
        <v>298</v>
      </c>
      <c r="J118" t="s">
        <v>216</v>
      </c>
      <c r="K118" t="s">
        <v>298</v>
      </c>
      <c r="L118" t="s">
        <v>28</v>
      </c>
      <c r="M118" t="s">
        <v>35</v>
      </c>
      <c r="N118" t="s">
        <v>216</v>
      </c>
      <c r="O118" t="s">
        <v>40</v>
      </c>
      <c r="P118" t="s">
        <v>28</v>
      </c>
      <c r="Q118" t="s">
        <v>28</v>
      </c>
      <c r="R118" t="s">
        <v>28</v>
      </c>
      <c r="T118">
        <v>67.64</v>
      </c>
    </row>
    <row r="119" spans="1:20" x14ac:dyDescent="0.25">
      <c r="A119" t="s">
        <v>438</v>
      </c>
      <c r="B119" t="s">
        <v>439</v>
      </c>
      <c r="C119" t="str">
        <f>_xlfn.XLOOKUP(A119,Tarefas!A:A,Tarefas!C:C)</f>
        <v>SMED</v>
      </c>
      <c r="D119" t="s">
        <v>28</v>
      </c>
      <c r="E119" t="s">
        <v>29</v>
      </c>
      <c r="F119" t="s">
        <v>260</v>
      </c>
      <c r="G119" t="s">
        <v>302</v>
      </c>
      <c r="H119" t="s">
        <v>302</v>
      </c>
      <c r="I119" t="s">
        <v>216</v>
      </c>
      <c r="J119" t="s">
        <v>336</v>
      </c>
      <c r="K119" t="s">
        <v>440</v>
      </c>
      <c r="L119" t="s">
        <v>28</v>
      </c>
      <c r="M119" t="s">
        <v>35</v>
      </c>
      <c r="N119" t="s">
        <v>28</v>
      </c>
      <c r="O119" t="s">
        <v>28</v>
      </c>
      <c r="P119" t="s">
        <v>208</v>
      </c>
      <c r="Q119" t="s">
        <v>441</v>
      </c>
      <c r="R119" t="s">
        <v>28</v>
      </c>
      <c r="T119">
        <v>244.2</v>
      </c>
    </row>
    <row r="120" spans="1:20" x14ac:dyDescent="0.25">
      <c r="A120" t="s">
        <v>442</v>
      </c>
      <c r="B120" t="s">
        <v>443</v>
      </c>
      <c r="C120" t="str">
        <f>_xlfn.XLOOKUP(A120,Tarefas!A:A,Tarefas!C:C)</f>
        <v>SMED</v>
      </c>
      <c r="D120" t="s">
        <v>28</v>
      </c>
      <c r="E120" t="s">
        <v>29</v>
      </c>
      <c r="F120" t="s">
        <v>30</v>
      </c>
      <c r="G120" t="s">
        <v>302</v>
      </c>
      <c r="H120" t="s">
        <v>302</v>
      </c>
      <c r="I120" t="s">
        <v>216</v>
      </c>
      <c r="J120" t="s">
        <v>336</v>
      </c>
      <c r="K120" t="s">
        <v>440</v>
      </c>
      <c r="L120" t="s">
        <v>28</v>
      </c>
      <c r="M120" t="s">
        <v>35</v>
      </c>
      <c r="N120" t="s">
        <v>28</v>
      </c>
      <c r="O120" t="s">
        <v>28</v>
      </c>
      <c r="P120" t="s">
        <v>444</v>
      </c>
      <c r="Q120" t="s">
        <v>445</v>
      </c>
      <c r="R120" t="s">
        <v>28</v>
      </c>
      <c r="T120">
        <v>64.97</v>
      </c>
    </row>
    <row r="121" spans="1:20" x14ac:dyDescent="0.25">
      <c r="A121" t="s">
        <v>446</v>
      </c>
      <c r="B121" t="s">
        <v>447</v>
      </c>
      <c r="C121" t="str">
        <f>_xlfn.XLOOKUP(A121,Tarefas!A:A,Tarefas!C:C)</f>
        <v>MTM/Impressão 3D</v>
      </c>
      <c r="D121" t="s">
        <v>28</v>
      </c>
      <c r="E121" t="s">
        <v>29</v>
      </c>
      <c r="F121" t="s">
        <v>30</v>
      </c>
      <c r="G121" t="s">
        <v>193</v>
      </c>
      <c r="H121" t="s">
        <v>193</v>
      </c>
      <c r="I121" t="s">
        <v>216</v>
      </c>
      <c r="J121" t="s">
        <v>336</v>
      </c>
      <c r="K121" t="s">
        <v>440</v>
      </c>
      <c r="L121" t="s">
        <v>28</v>
      </c>
      <c r="M121" t="s">
        <v>35</v>
      </c>
      <c r="N121" t="s">
        <v>28</v>
      </c>
      <c r="O121" t="s">
        <v>28</v>
      </c>
      <c r="P121" t="s">
        <v>444</v>
      </c>
      <c r="Q121" t="s">
        <v>448</v>
      </c>
      <c r="R121" t="s">
        <v>28</v>
      </c>
      <c r="T121">
        <v>671.95</v>
      </c>
    </row>
    <row r="122" spans="1:20" x14ac:dyDescent="0.25">
      <c r="A122" t="s">
        <v>449</v>
      </c>
      <c r="B122" t="s">
        <v>450</v>
      </c>
      <c r="C122" t="str">
        <f>_xlfn.XLOOKUP(A122,Tarefas!A:A,Tarefas!C:C)</f>
        <v>MTM/Impressão 3D</v>
      </c>
      <c r="D122" t="s">
        <v>28</v>
      </c>
      <c r="E122" t="s">
        <v>29</v>
      </c>
      <c r="F122" t="s">
        <v>30</v>
      </c>
      <c r="G122" t="s">
        <v>193</v>
      </c>
      <c r="H122" t="s">
        <v>193</v>
      </c>
      <c r="I122" t="s">
        <v>216</v>
      </c>
      <c r="J122" t="s">
        <v>336</v>
      </c>
      <c r="K122" t="s">
        <v>440</v>
      </c>
      <c r="L122" t="s">
        <v>28</v>
      </c>
      <c r="M122" t="s">
        <v>35</v>
      </c>
      <c r="N122" t="s">
        <v>28</v>
      </c>
      <c r="O122" t="s">
        <v>28</v>
      </c>
      <c r="P122" t="s">
        <v>444</v>
      </c>
      <c r="Q122" t="s">
        <v>451</v>
      </c>
      <c r="R122" t="s">
        <v>28</v>
      </c>
      <c r="T122">
        <v>115.53</v>
      </c>
    </row>
    <row r="123" spans="1:20" x14ac:dyDescent="0.25">
      <c r="A123" t="s">
        <v>452</v>
      </c>
      <c r="B123" t="s">
        <v>453</v>
      </c>
      <c r="C123" t="str">
        <f>_xlfn.XLOOKUP(A123,Tarefas!A:A,Tarefas!C:C)</f>
        <v>RPA</v>
      </c>
      <c r="D123" t="s">
        <v>28</v>
      </c>
      <c r="E123" t="s">
        <v>29</v>
      </c>
      <c r="F123" t="s">
        <v>30</v>
      </c>
      <c r="G123" t="s">
        <v>186</v>
      </c>
      <c r="H123" t="s">
        <v>186</v>
      </c>
      <c r="I123" t="s">
        <v>216</v>
      </c>
      <c r="J123" t="s">
        <v>336</v>
      </c>
      <c r="K123" t="s">
        <v>28</v>
      </c>
      <c r="L123" t="s">
        <v>28</v>
      </c>
      <c r="M123" t="s">
        <v>35</v>
      </c>
      <c r="N123" t="s">
        <v>28</v>
      </c>
      <c r="O123" t="s">
        <v>28</v>
      </c>
      <c r="P123" t="s">
        <v>28</v>
      </c>
      <c r="Q123" t="s">
        <v>28</v>
      </c>
      <c r="R123" t="s">
        <v>28</v>
      </c>
      <c r="T123">
        <v>730.66</v>
      </c>
    </row>
    <row r="124" spans="1:20" x14ac:dyDescent="0.25">
      <c r="A124" t="s">
        <v>454</v>
      </c>
      <c r="B124" t="s">
        <v>455</v>
      </c>
      <c r="C124" t="str">
        <f>_xlfn.XLOOKUP(A124,Tarefas!A:A,Tarefas!C:C)</f>
        <v>RPA</v>
      </c>
      <c r="D124" t="s">
        <v>28</v>
      </c>
      <c r="E124" t="s">
        <v>29</v>
      </c>
      <c r="F124" t="s">
        <v>30</v>
      </c>
      <c r="G124" t="s">
        <v>28</v>
      </c>
      <c r="H124" t="s">
        <v>186</v>
      </c>
      <c r="I124" t="s">
        <v>216</v>
      </c>
      <c r="J124" t="s">
        <v>28</v>
      </c>
      <c r="K124" t="s">
        <v>28</v>
      </c>
      <c r="L124" t="s">
        <v>28</v>
      </c>
      <c r="M124" t="s">
        <v>35</v>
      </c>
      <c r="N124" t="s">
        <v>28</v>
      </c>
      <c r="O124" t="s">
        <v>28</v>
      </c>
      <c r="P124" t="s">
        <v>28</v>
      </c>
      <c r="Q124" t="s">
        <v>28</v>
      </c>
      <c r="R124" t="s">
        <v>28</v>
      </c>
      <c r="T124">
        <v>7.44</v>
      </c>
    </row>
    <row r="125" spans="1:20" x14ac:dyDescent="0.25">
      <c r="T125">
        <v>565.41999999999996</v>
      </c>
    </row>
  </sheetData>
  <autoFilter ref="A1:S124" xr:uid="{00000000-0001-0000-0100-000000000000}"/>
  <pageMargins left="0.511811024" right="0.511811024" top="0.78740157499999996" bottom="0.78740157499999996" header="0.31496062000000002" footer="0.31496062000000002"/>
  <pageSetup paperSize="9" orientation="portrait" r:id="rId1"/>
  <headerFooter>
    <oddFooter>&amp;L_x000D_&amp;1#&amp;"Aptos"&amp;10&amp;K000000 Classificação Privada</oddFooter>
  </headerFooter>
  <ignoredErrors>
    <ignoredError sqref="A1:S1 A3:B124 A2:B2 D2:S2 D3:S12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24"/>
  <sheetViews>
    <sheetView workbookViewId="0">
      <selection activeCell="A2" sqref="A2"/>
    </sheetView>
  </sheetViews>
  <sheetFormatPr defaultRowHeight="15.75" x14ac:dyDescent="0.25"/>
  <cols>
    <col min="1" max="1" width="3.375" customWidth="1"/>
    <col min="2" max="2" width="81.125" customWidth="1"/>
    <col min="3" max="3" width="24.875" customWidth="1"/>
    <col min="4" max="4" width="32.875" hidden="1" customWidth="1"/>
    <col min="5" max="5" width="32.875" customWidth="1"/>
    <col min="6" max="6" width="14.875" customWidth="1"/>
    <col min="7" max="7" width="18.875" customWidth="1"/>
    <col min="8" max="8" width="40.875" customWidth="1"/>
    <col min="9" max="9" width="32.875" customWidth="1"/>
    <col min="10" max="10" width="11.875" customWidth="1"/>
    <col min="11" max="11" width="13.625" customWidth="1"/>
    <col min="12" max="12" width="11.875" customWidth="1"/>
    <col min="13" max="14" width="8.875" customWidth="1"/>
    <col min="15" max="15" width="11.875" customWidth="1"/>
    <col min="16" max="16" width="32.875" customWidth="1"/>
    <col min="17" max="17" width="35" customWidth="1"/>
    <col min="18" max="20" width="32.875" customWidth="1"/>
  </cols>
  <sheetData>
    <row r="1" spans="1:20" x14ac:dyDescent="0.25">
      <c r="A1" t="s">
        <v>6</v>
      </c>
      <c r="B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</row>
    <row r="2" spans="1:20" x14ac:dyDescent="0.25">
      <c r="A2" t="s">
        <v>25</v>
      </c>
      <c r="B2" t="s">
        <v>26</v>
      </c>
      <c r="C2" t="s">
        <v>143</v>
      </c>
      <c r="D2" t="s">
        <v>456</v>
      </c>
      <c r="E2" t="s">
        <v>28</v>
      </c>
      <c r="F2" t="s">
        <v>29</v>
      </c>
      <c r="G2" t="s">
        <v>30</v>
      </c>
      <c r="H2" t="s">
        <v>457</v>
      </c>
      <c r="I2" t="s">
        <v>458</v>
      </c>
      <c r="J2" t="s">
        <v>33</v>
      </c>
      <c r="K2" t="s">
        <v>34</v>
      </c>
      <c r="L2" t="s">
        <v>28</v>
      </c>
      <c r="M2" t="s">
        <v>28</v>
      </c>
      <c r="N2" t="s">
        <v>35</v>
      </c>
      <c r="O2" t="s">
        <v>28</v>
      </c>
      <c r="P2" t="s">
        <v>28</v>
      </c>
      <c r="Q2" t="s">
        <v>36</v>
      </c>
      <c r="R2" t="s">
        <v>37</v>
      </c>
      <c r="S2" t="s">
        <v>28</v>
      </c>
    </row>
    <row r="3" spans="1:20" x14ac:dyDescent="0.25">
      <c r="A3" t="s">
        <v>38</v>
      </c>
      <c r="B3" t="s">
        <v>26</v>
      </c>
      <c r="C3" t="s">
        <v>143</v>
      </c>
      <c r="D3" t="s">
        <v>456</v>
      </c>
      <c r="E3" t="s">
        <v>28</v>
      </c>
      <c r="F3" t="s">
        <v>39</v>
      </c>
      <c r="G3" t="s">
        <v>30</v>
      </c>
      <c r="H3" t="s">
        <v>457</v>
      </c>
      <c r="I3" t="s">
        <v>459</v>
      </c>
      <c r="J3" t="s">
        <v>41</v>
      </c>
      <c r="K3" t="s">
        <v>42</v>
      </c>
      <c r="L3" t="s">
        <v>28</v>
      </c>
      <c r="M3" t="s">
        <v>28</v>
      </c>
      <c r="N3" t="s">
        <v>35</v>
      </c>
      <c r="O3" t="s">
        <v>33</v>
      </c>
      <c r="P3" t="s">
        <v>458</v>
      </c>
      <c r="Q3" t="s">
        <v>43</v>
      </c>
      <c r="R3" t="s">
        <v>37</v>
      </c>
      <c r="S3" t="s">
        <v>28</v>
      </c>
    </row>
    <row r="4" spans="1:20" x14ac:dyDescent="0.25">
      <c r="A4" t="s">
        <v>44</v>
      </c>
      <c r="B4" t="s">
        <v>26</v>
      </c>
      <c r="C4" t="s">
        <v>143</v>
      </c>
      <c r="D4" t="s">
        <v>456</v>
      </c>
      <c r="E4" t="s">
        <v>28</v>
      </c>
      <c r="F4" t="s">
        <v>39</v>
      </c>
      <c r="G4" t="s">
        <v>30</v>
      </c>
      <c r="H4" t="s">
        <v>460</v>
      </c>
      <c r="I4" t="s">
        <v>459</v>
      </c>
      <c r="J4" t="s">
        <v>41</v>
      </c>
      <c r="K4" t="s">
        <v>46</v>
      </c>
      <c r="L4" t="s">
        <v>28</v>
      </c>
      <c r="M4" t="s">
        <v>28</v>
      </c>
      <c r="N4" t="s">
        <v>35</v>
      </c>
      <c r="O4" t="s">
        <v>41</v>
      </c>
      <c r="P4" t="s">
        <v>459</v>
      </c>
      <c r="Q4" t="s">
        <v>47</v>
      </c>
      <c r="R4" t="s">
        <v>48</v>
      </c>
      <c r="S4" t="s">
        <v>28</v>
      </c>
    </row>
    <row r="5" spans="1:20" x14ac:dyDescent="0.25">
      <c r="A5" t="s">
        <v>49</v>
      </c>
      <c r="B5" t="s">
        <v>26</v>
      </c>
      <c r="C5" t="s">
        <v>143</v>
      </c>
      <c r="D5" t="s">
        <v>456</v>
      </c>
      <c r="E5" t="s">
        <v>28</v>
      </c>
      <c r="F5" t="s">
        <v>39</v>
      </c>
      <c r="G5" t="s">
        <v>30</v>
      </c>
      <c r="H5" t="s">
        <v>460</v>
      </c>
      <c r="I5" t="s">
        <v>459</v>
      </c>
      <c r="J5" t="s">
        <v>41</v>
      </c>
      <c r="K5" t="s">
        <v>50</v>
      </c>
      <c r="L5" t="s">
        <v>28</v>
      </c>
      <c r="M5" t="s">
        <v>28</v>
      </c>
      <c r="N5" t="s">
        <v>35</v>
      </c>
      <c r="O5" t="s">
        <v>41</v>
      </c>
      <c r="P5" t="s">
        <v>459</v>
      </c>
      <c r="Q5" t="s">
        <v>47</v>
      </c>
      <c r="R5" t="s">
        <v>48</v>
      </c>
      <c r="S5" t="s">
        <v>28</v>
      </c>
    </row>
    <row r="6" spans="1:20" x14ac:dyDescent="0.25">
      <c r="A6" t="s">
        <v>51</v>
      </c>
      <c r="B6" t="s">
        <v>26</v>
      </c>
      <c r="C6" t="s">
        <v>143</v>
      </c>
      <c r="D6" t="s">
        <v>456</v>
      </c>
      <c r="E6" t="s">
        <v>28</v>
      </c>
      <c r="F6" t="s">
        <v>39</v>
      </c>
      <c r="G6" t="s">
        <v>30</v>
      </c>
      <c r="H6" t="s">
        <v>460</v>
      </c>
      <c r="I6" t="s">
        <v>459</v>
      </c>
      <c r="J6" t="s">
        <v>41</v>
      </c>
      <c r="K6" t="s">
        <v>52</v>
      </c>
      <c r="L6" t="s">
        <v>28</v>
      </c>
      <c r="M6" t="s">
        <v>28</v>
      </c>
      <c r="N6" t="s">
        <v>35</v>
      </c>
      <c r="O6" t="s">
        <v>41</v>
      </c>
      <c r="P6" t="s">
        <v>459</v>
      </c>
      <c r="Q6" t="s">
        <v>47</v>
      </c>
      <c r="R6" t="s">
        <v>48</v>
      </c>
      <c r="S6" t="s">
        <v>28</v>
      </c>
    </row>
    <row r="7" spans="1:20" x14ac:dyDescent="0.25">
      <c r="A7" t="s">
        <v>53</v>
      </c>
      <c r="B7" t="s">
        <v>26</v>
      </c>
      <c r="C7" t="s">
        <v>143</v>
      </c>
      <c r="D7" t="s">
        <v>456</v>
      </c>
      <c r="E7" t="s">
        <v>28</v>
      </c>
      <c r="F7" t="s">
        <v>39</v>
      </c>
      <c r="G7" t="s">
        <v>30</v>
      </c>
      <c r="H7" t="s">
        <v>460</v>
      </c>
      <c r="I7" t="s">
        <v>459</v>
      </c>
      <c r="J7" t="s">
        <v>41</v>
      </c>
      <c r="K7" t="s">
        <v>54</v>
      </c>
      <c r="L7" t="s">
        <v>28</v>
      </c>
      <c r="M7" t="s">
        <v>28</v>
      </c>
      <c r="N7" t="s">
        <v>35</v>
      </c>
      <c r="O7" t="s">
        <v>41</v>
      </c>
      <c r="P7" t="s">
        <v>459</v>
      </c>
      <c r="Q7" t="s">
        <v>47</v>
      </c>
      <c r="R7" t="s">
        <v>48</v>
      </c>
      <c r="S7" t="s">
        <v>28</v>
      </c>
    </row>
    <row r="8" spans="1:20" x14ac:dyDescent="0.25">
      <c r="A8" t="s">
        <v>55</v>
      </c>
      <c r="B8" t="s">
        <v>26</v>
      </c>
      <c r="C8" t="s">
        <v>143</v>
      </c>
      <c r="D8" t="s">
        <v>456</v>
      </c>
      <c r="E8" t="s">
        <v>28</v>
      </c>
      <c r="F8" t="s">
        <v>39</v>
      </c>
      <c r="G8" t="s">
        <v>30</v>
      </c>
      <c r="H8" t="s">
        <v>460</v>
      </c>
      <c r="I8" t="s">
        <v>459</v>
      </c>
      <c r="J8" t="s">
        <v>41</v>
      </c>
      <c r="K8" t="s">
        <v>56</v>
      </c>
      <c r="L8" t="s">
        <v>28</v>
      </c>
      <c r="M8" t="s">
        <v>28</v>
      </c>
      <c r="N8" t="s">
        <v>35</v>
      </c>
      <c r="O8" t="s">
        <v>41</v>
      </c>
      <c r="P8" t="s">
        <v>459</v>
      </c>
      <c r="Q8" t="s">
        <v>47</v>
      </c>
      <c r="R8" t="s">
        <v>48</v>
      </c>
      <c r="S8" t="s">
        <v>28</v>
      </c>
    </row>
    <row r="9" spans="1:20" x14ac:dyDescent="0.25">
      <c r="A9" t="s">
        <v>57</v>
      </c>
      <c r="B9" t="s">
        <v>26</v>
      </c>
      <c r="C9" t="s">
        <v>143</v>
      </c>
      <c r="D9" t="s">
        <v>456</v>
      </c>
      <c r="E9" t="s">
        <v>28</v>
      </c>
      <c r="F9" t="s">
        <v>39</v>
      </c>
      <c r="G9" t="s">
        <v>30</v>
      </c>
      <c r="H9" t="s">
        <v>460</v>
      </c>
      <c r="I9" t="s">
        <v>459</v>
      </c>
      <c r="J9" t="s">
        <v>41</v>
      </c>
      <c r="K9" t="s">
        <v>58</v>
      </c>
      <c r="L9" t="s">
        <v>28</v>
      </c>
      <c r="M9" t="s">
        <v>28</v>
      </c>
      <c r="N9" t="s">
        <v>35</v>
      </c>
      <c r="O9" t="s">
        <v>41</v>
      </c>
      <c r="P9" t="s">
        <v>459</v>
      </c>
      <c r="Q9" t="s">
        <v>47</v>
      </c>
      <c r="R9" t="s">
        <v>48</v>
      </c>
      <c r="S9" t="s">
        <v>28</v>
      </c>
    </row>
    <row r="10" spans="1:20" x14ac:dyDescent="0.25">
      <c r="A10" t="s">
        <v>59</v>
      </c>
      <c r="B10" t="s">
        <v>26</v>
      </c>
      <c r="C10" t="s">
        <v>143</v>
      </c>
      <c r="D10" t="s">
        <v>456</v>
      </c>
      <c r="E10" t="s">
        <v>28</v>
      </c>
      <c r="F10" t="s">
        <v>39</v>
      </c>
      <c r="G10" t="s">
        <v>30</v>
      </c>
      <c r="H10" t="s">
        <v>460</v>
      </c>
      <c r="I10" t="s">
        <v>459</v>
      </c>
      <c r="J10" t="s">
        <v>60</v>
      </c>
      <c r="K10" t="s">
        <v>61</v>
      </c>
      <c r="L10" t="s">
        <v>28</v>
      </c>
      <c r="M10" t="s">
        <v>28</v>
      </c>
      <c r="N10" t="s">
        <v>35</v>
      </c>
      <c r="O10" t="s">
        <v>41</v>
      </c>
      <c r="P10" t="s">
        <v>459</v>
      </c>
      <c r="Q10" t="s">
        <v>47</v>
      </c>
      <c r="R10" t="s">
        <v>48</v>
      </c>
      <c r="S10" t="s">
        <v>28</v>
      </c>
    </row>
    <row r="11" spans="1:20" x14ac:dyDescent="0.25">
      <c r="A11" t="s">
        <v>62</v>
      </c>
      <c r="B11" t="s">
        <v>63</v>
      </c>
      <c r="C11" t="s">
        <v>529</v>
      </c>
      <c r="D11" t="s">
        <v>456</v>
      </c>
      <c r="E11" t="s">
        <v>28</v>
      </c>
      <c r="F11" t="s">
        <v>39</v>
      </c>
      <c r="G11" t="s">
        <v>30</v>
      </c>
      <c r="H11" t="s">
        <v>461</v>
      </c>
      <c r="I11" t="s">
        <v>459</v>
      </c>
      <c r="J11" t="s">
        <v>64</v>
      </c>
      <c r="K11" t="s">
        <v>65</v>
      </c>
      <c r="L11" t="s">
        <v>28</v>
      </c>
      <c r="M11" t="s">
        <v>28</v>
      </c>
      <c r="N11" t="s">
        <v>35</v>
      </c>
      <c r="O11" t="s">
        <v>66</v>
      </c>
      <c r="P11" t="s">
        <v>461</v>
      </c>
      <c r="Q11" t="s">
        <v>67</v>
      </c>
      <c r="R11" t="s">
        <v>68</v>
      </c>
      <c r="S11" t="s">
        <v>69</v>
      </c>
    </row>
    <row r="12" spans="1:20" x14ac:dyDescent="0.25">
      <c r="A12" t="s">
        <v>70</v>
      </c>
      <c r="B12" t="s">
        <v>71</v>
      </c>
      <c r="C12" t="s">
        <v>529</v>
      </c>
      <c r="D12" t="s">
        <v>456</v>
      </c>
      <c r="E12" t="s">
        <v>28</v>
      </c>
      <c r="F12" t="s">
        <v>39</v>
      </c>
      <c r="G12" t="s">
        <v>30</v>
      </c>
      <c r="H12" t="s">
        <v>462</v>
      </c>
      <c r="I12" t="s">
        <v>459</v>
      </c>
      <c r="J12" t="s">
        <v>64</v>
      </c>
      <c r="K12" t="s">
        <v>72</v>
      </c>
      <c r="L12" t="s">
        <v>28</v>
      </c>
      <c r="M12" t="s">
        <v>28</v>
      </c>
      <c r="N12" t="s">
        <v>35</v>
      </c>
      <c r="O12" t="s">
        <v>73</v>
      </c>
      <c r="P12" t="s">
        <v>462</v>
      </c>
      <c r="Q12" t="s">
        <v>28</v>
      </c>
      <c r="R12" t="s">
        <v>28</v>
      </c>
      <c r="S12" t="s">
        <v>28</v>
      </c>
    </row>
    <row r="13" spans="1:20" x14ac:dyDescent="0.25">
      <c r="A13" t="s">
        <v>74</v>
      </c>
      <c r="B13" t="s">
        <v>75</v>
      </c>
      <c r="C13" t="s">
        <v>529</v>
      </c>
      <c r="D13" t="s">
        <v>456</v>
      </c>
      <c r="E13" t="s">
        <v>28</v>
      </c>
      <c r="F13" t="s">
        <v>39</v>
      </c>
      <c r="G13" t="s">
        <v>30</v>
      </c>
      <c r="H13" t="s">
        <v>462</v>
      </c>
      <c r="I13" t="s">
        <v>459</v>
      </c>
      <c r="J13" t="s">
        <v>64</v>
      </c>
      <c r="K13" t="s">
        <v>76</v>
      </c>
      <c r="L13" t="s">
        <v>28</v>
      </c>
      <c r="M13" t="s">
        <v>28</v>
      </c>
      <c r="N13" t="s">
        <v>35</v>
      </c>
      <c r="O13" t="s">
        <v>41</v>
      </c>
      <c r="P13" t="s">
        <v>459</v>
      </c>
      <c r="Q13" t="s">
        <v>28</v>
      </c>
      <c r="R13" t="s">
        <v>28</v>
      </c>
      <c r="S13" t="s">
        <v>28</v>
      </c>
    </row>
    <row r="14" spans="1:20" x14ac:dyDescent="0.25">
      <c r="A14" t="s">
        <v>77</v>
      </c>
      <c r="B14" t="s">
        <v>78</v>
      </c>
      <c r="C14" t="s">
        <v>529</v>
      </c>
      <c r="D14" t="s">
        <v>456</v>
      </c>
      <c r="E14" t="s">
        <v>28</v>
      </c>
      <c r="F14" t="s">
        <v>39</v>
      </c>
      <c r="G14" t="s">
        <v>30</v>
      </c>
      <c r="H14" t="s">
        <v>463</v>
      </c>
      <c r="I14" t="s">
        <v>459</v>
      </c>
      <c r="J14" t="s">
        <v>64</v>
      </c>
      <c r="K14" t="s">
        <v>80</v>
      </c>
      <c r="L14" t="s">
        <v>28</v>
      </c>
      <c r="M14" t="s">
        <v>28</v>
      </c>
      <c r="N14" t="s">
        <v>35</v>
      </c>
      <c r="O14" t="s">
        <v>81</v>
      </c>
      <c r="P14" t="s">
        <v>464</v>
      </c>
      <c r="Q14" t="s">
        <v>67</v>
      </c>
      <c r="R14" t="s">
        <v>82</v>
      </c>
      <c r="S14" t="s">
        <v>28</v>
      </c>
    </row>
    <row r="15" spans="1:20" x14ac:dyDescent="0.25">
      <c r="A15" t="s">
        <v>83</v>
      </c>
      <c r="B15" t="s">
        <v>84</v>
      </c>
      <c r="C15" t="s">
        <v>529</v>
      </c>
      <c r="D15" t="s">
        <v>456</v>
      </c>
      <c r="E15" t="s">
        <v>28</v>
      </c>
      <c r="F15" t="s">
        <v>39</v>
      </c>
      <c r="G15" t="s">
        <v>30</v>
      </c>
      <c r="H15" t="s">
        <v>465</v>
      </c>
      <c r="I15" t="s">
        <v>464</v>
      </c>
      <c r="J15" t="s">
        <v>64</v>
      </c>
      <c r="K15" t="s">
        <v>80</v>
      </c>
      <c r="L15" t="s">
        <v>28</v>
      </c>
      <c r="M15" t="s">
        <v>28</v>
      </c>
      <c r="N15" t="s">
        <v>35</v>
      </c>
      <c r="O15" t="s">
        <v>81</v>
      </c>
      <c r="P15" t="s">
        <v>464</v>
      </c>
      <c r="Q15" t="s">
        <v>28</v>
      </c>
      <c r="R15" t="s">
        <v>28</v>
      </c>
      <c r="S15" t="s">
        <v>28</v>
      </c>
      <c r="T15" t="s">
        <v>85</v>
      </c>
    </row>
    <row r="16" spans="1:20" x14ac:dyDescent="0.25">
      <c r="A16" t="s">
        <v>86</v>
      </c>
      <c r="B16" t="s">
        <v>87</v>
      </c>
      <c r="C16" t="s">
        <v>529</v>
      </c>
      <c r="D16" t="s">
        <v>456</v>
      </c>
      <c r="E16" t="s">
        <v>28</v>
      </c>
      <c r="F16" t="s">
        <v>39</v>
      </c>
      <c r="G16" t="s">
        <v>30</v>
      </c>
      <c r="H16" t="s">
        <v>466</v>
      </c>
      <c r="I16" t="s">
        <v>464</v>
      </c>
      <c r="J16" t="s">
        <v>89</v>
      </c>
      <c r="K16" t="s">
        <v>80</v>
      </c>
      <c r="L16" t="s">
        <v>28</v>
      </c>
      <c r="M16" t="s">
        <v>28</v>
      </c>
      <c r="N16" t="s">
        <v>35</v>
      </c>
      <c r="O16" t="s">
        <v>81</v>
      </c>
      <c r="P16" t="s">
        <v>464</v>
      </c>
      <c r="Q16" t="s">
        <v>28</v>
      </c>
      <c r="R16" t="s">
        <v>28</v>
      </c>
      <c r="S16" t="s">
        <v>28</v>
      </c>
    </row>
    <row r="17" spans="1:20" x14ac:dyDescent="0.25">
      <c r="A17" t="s">
        <v>90</v>
      </c>
      <c r="B17" t="s">
        <v>91</v>
      </c>
      <c r="C17" t="s">
        <v>529</v>
      </c>
      <c r="D17" t="s">
        <v>456</v>
      </c>
      <c r="E17" t="s">
        <v>28</v>
      </c>
      <c r="F17" t="s">
        <v>39</v>
      </c>
      <c r="G17" t="s">
        <v>30</v>
      </c>
      <c r="H17" t="s">
        <v>462</v>
      </c>
      <c r="I17" t="s">
        <v>462</v>
      </c>
      <c r="J17" t="s">
        <v>92</v>
      </c>
      <c r="K17" t="s">
        <v>93</v>
      </c>
      <c r="L17" t="s">
        <v>28</v>
      </c>
      <c r="M17" t="s">
        <v>28</v>
      </c>
      <c r="N17" t="s">
        <v>35</v>
      </c>
      <c r="O17" t="s">
        <v>92</v>
      </c>
      <c r="P17" t="s">
        <v>462</v>
      </c>
      <c r="Q17" t="s">
        <v>94</v>
      </c>
      <c r="R17" t="s">
        <v>95</v>
      </c>
      <c r="S17" t="s">
        <v>28</v>
      </c>
    </row>
    <row r="18" spans="1:20" x14ac:dyDescent="0.25">
      <c r="A18" t="s">
        <v>96</v>
      </c>
      <c r="B18" t="s">
        <v>97</v>
      </c>
      <c r="C18" t="s">
        <v>529</v>
      </c>
      <c r="D18" t="s">
        <v>456</v>
      </c>
      <c r="E18" t="s">
        <v>28</v>
      </c>
      <c r="F18" t="s">
        <v>39</v>
      </c>
      <c r="G18" t="s">
        <v>30</v>
      </c>
      <c r="H18" t="s">
        <v>465</v>
      </c>
      <c r="I18" t="s">
        <v>462</v>
      </c>
      <c r="J18" t="s">
        <v>81</v>
      </c>
      <c r="K18" t="s">
        <v>98</v>
      </c>
      <c r="L18" t="s">
        <v>28</v>
      </c>
      <c r="M18" t="s">
        <v>28</v>
      </c>
      <c r="N18" t="s">
        <v>35</v>
      </c>
      <c r="O18" t="s">
        <v>99</v>
      </c>
      <c r="P18" t="s">
        <v>462</v>
      </c>
      <c r="Q18" t="s">
        <v>28</v>
      </c>
      <c r="R18" t="s">
        <v>28</v>
      </c>
      <c r="S18" t="s">
        <v>28</v>
      </c>
    </row>
    <row r="19" spans="1:20" x14ac:dyDescent="0.25">
      <c r="A19" t="s">
        <v>100</v>
      </c>
      <c r="B19" t="s">
        <v>101</v>
      </c>
      <c r="C19" t="s">
        <v>529</v>
      </c>
      <c r="D19" t="s">
        <v>456</v>
      </c>
      <c r="E19" t="s">
        <v>28</v>
      </c>
      <c r="F19" t="s">
        <v>39</v>
      </c>
      <c r="G19" t="s">
        <v>30</v>
      </c>
      <c r="H19" t="s">
        <v>465</v>
      </c>
      <c r="I19" t="s">
        <v>464</v>
      </c>
      <c r="J19" t="s">
        <v>81</v>
      </c>
      <c r="K19" t="s">
        <v>98</v>
      </c>
      <c r="L19" t="s">
        <v>28</v>
      </c>
      <c r="M19" t="s">
        <v>28</v>
      </c>
      <c r="N19" t="s">
        <v>35</v>
      </c>
      <c r="O19" t="s">
        <v>98</v>
      </c>
      <c r="P19" t="s">
        <v>464</v>
      </c>
      <c r="Q19" t="s">
        <v>28</v>
      </c>
      <c r="R19" t="s">
        <v>28</v>
      </c>
      <c r="S19" t="s">
        <v>28</v>
      </c>
    </row>
    <row r="20" spans="1:20" x14ac:dyDescent="0.25">
      <c r="A20" t="s">
        <v>102</v>
      </c>
      <c r="B20" t="s">
        <v>103</v>
      </c>
      <c r="C20" t="s">
        <v>529</v>
      </c>
      <c r="D20" t="s">
        <v>456</v>
      </c>
      <c r="E20" t="s">
        <v>28</v>
      </c>
      <c r="F20" t="s">
        <v>39</v>
      </c>
      <c r="G20" t="s">
        <v>30</v>
      </c>
      <c r="H20" t="s">
        <v>465</v>
      </c>
      <c r="I20" t="s">
        <v>464</v>
      </c>
      <c r="J20" t="s">
        <v>81</v>
      </c>
      <c r="K20" t="s">
        <v>104</v>
      </c>
      <c r="L20" t="s">
        <v>28</v>
      </c>
      <c r="M20" t="s">
        <v>28</v>
      </c>
      <c r="N20" t="s">
        <v>35</v>
      </c>
      <c r="O20" t="s">
        <v>41</v>
      </c>
      <c r="P20" t="s">
        <v>459</v>
      </c>
      <c r="Q20" t="s">
        <v>28</v>
      </c>
      <c r="R20" t="s">
        <v>28</v>
      </c>
      <c r="S20" t="s">
        <v>28</v>
      </c>
    </row>
    <row r="21" spans="1:20" x14ac:dyDescent="0.25">
      <c r="A21" t="s">
        <v>105</v>
      </c>
      <c r="B21" t="s">
        <v>106</v>
      </c>
      <c r="C21" t="s">
        <v>529</v>
      </c>
      <c r="D21" t="s">
        <v>456</v>
      </c>
      <c r="E21" t="s">
        <v>28</v>
      </c>
      <c r="F21" t="s">
        <v>39</v>
      </c>
      <c r="G21" t="s">
        <v>30</v>
      </c>
      <c r="H21" t="s">
        <v>464</v>
      </c>
      <c r="I21" t="s">
        <v>464</v>
      </c>
      <c r="J21" t="s">
        <v>81</v>
      </c>
      <c r="K21" t="s">
        <v>107</v>
      </c>
      <c r="L21" t="s">
        <v>28</v>
      </c>
      <c r="M21" t="s">
        <v>28</v>
      </c>
      <c r="N21" t="s">
        <v>35</v>
      </c>
      <c r="O21" t="s">
        <v>41</v>
      </c>
      <c r="P21" t="s">
        <v>459</v>
      </c>
      <c r="Q21" t="s">
        <v>28</v>
      </c>
      <c r="R21" t="s">
        <v>28</v>
      </c>
      <c r="S21" t="s">
        <v>28</v>
      </c>
    </row>
    <row r="22" spans="1:20" x14ac:dyDescent="0.25">
      <c r="A22" t="s">
        <v>108</v>
      </c>
      <c r="B22" t="s">
        <v>109</v>
      </c>
      <c r="C22" t="s">
        <v>529</v>
      </c>
      <c r="D22" t="s">
        <v>456</v>
      </c>
      <c r="E22" t="s">
        <v>28</v>
      </c>
      <c r="F22" t="s">
        <v>39</v>
      </c>
      <c r="G22" t="s">
        <v>30</v>
      </c>
      <c r="H22" t="s">
        <v>461</v>
      </c>
      <c r="I22" t="s">
        <v>459</v>
      </c>
      <c r="J22" t="s">
        <v>110</v>
      </c>
      <c r="K22" t="s">
        <v>111</v>
      </c>
      <c r="L22" t="s">
        <v>28</v>
      </c>
      <c r="M22" t="s">
        <v>28</v>
      </c>
      <c r="N22" t="s">
        <v>35</v>
      </c>
      <c r="O22" t="s">
        <v>110</v>
      </c>
      <c r="P22" t="s">
        <v>459</v>
      </c>
      <c r="Q22" t="s">
        <v>112</v>
      </c>
      <c r="R22" t="s">
        <v>113</v>
      </c>
      <c r="S22" t="s">
        <v>28</v>
      </c>
    </row>
    <row r="23" spans="1:20" x14ac:dyDescent="0.25">
      <c r="A23" t="s">
        <v>114</v>
      </c>
      <c r="B23" t="s">
        <v>115</v>
      </c>
      <c r="C23" t="s">
        <v>529</v>
      </c>
      <c r="D23" t="s">
        <v>456</v>
      </c>
      <c r="E23" t="s">
        <v>28</v>
      </c>
      <c r="F23" t="s">
        <v>39</v>
      </c>
      <c r="G23" t="s">
        <v>30</v>
      </c>
      <c r="H23" t="s">
        <v>461</v>
      </c>
      <c r="I23" t="s">
        <v>459</v>
      </c>
      <c r="J23" t="s">
        <v>110</v>
      </c>
      <c r="K23" t="s">
        <v>110</v>
      </c>
      <c r="L23" t="s">
        <v>28</v>
      </c>
      <c r="M23" t="s">
        <v>28</v>
      </c>
      <c r="N23" t="s">
        <v>35</v>
      </c>
      <c r="O23" t="s">
        <v>110</v>
      </c>
      <c r="P23" t="s">
        <v>459</v>
      </c>
      <c r="Q23" t="s">
        <v>28</v>
      </c>
      <c r="R23" t="s">
        <v>28</v>
      </c>
      <c r="S23" t="s">
        <v>28</v>
      </c>
    </row>
    <row r="24" spans="1:20" x14ac:dyDescent="0.25">
      <c r="A24" t="s">
        <v>116</v>
      </c>
      <c r="B24" t="s">
        <v>117</v>
      </c>
      <c r="C24" t="s">
        <v>529</v>
      </c>
      <c r="D24" t="s">
        <v>456</v>
      </c>
      <c r="E24" t="s">
        <v>28</v>
      </c>
      <c r="F24" t="s">
        <v>39</v>
      </c>
      <c r="G24" t="s">
        <v>30</v>
      </c>
      <c r="H24" t="s">
        <v>461</v>
      </c>
      <c r="I24" t="s">
        <v>459</v>
      </c>
      <c r="J24" t="s">
        <v>110</v>
      </c>
      <c r="K24" t="s">
        <v>118</v>
      </c>
      <c r="L24" t="s">
        <v>28</v>
      </c>
      <c r="M24" t="s">
        <v>28</v>
      </c>
      <c r="N24" t="s">
        <v>35</v>
      </c>
      <c r="O24" t="s">
        <v>110</v>
      </c>
      <c r="P24" t="s">
        <v>459</v>
      </c>
      <c r="Q24" t="s">
        <v>28</v>
      </c>
      <c r="R24" t="s">
        <v>28</v>
      </c>
      <c r="S24" t="s">
        <v>28</v>
      </c>
    </row>
    <row r="25" spans="1:20" x14ac:dyDescent="0.25">
      <c r="A25" t="s">
        <v>119</v>
      </c>
      <c r="B25" t="s">
        <v>120</v>
      </c>
      <c r="C25" t="str">
        <f>_xlfn.XLOOKUP(D25,Buckets!A:A,Buckets!B:B)</f>
        <v>MOI, MOA, MODS</v>
      </c>
      <c r="D25" t="s">
        <v>467</v>
      </c>
      <c r="E25" t="s">
        <v>468</v>
      </c>
      <c r="F25" t="s">
        <v>123</v>
      </c>
      <c r="G25" t="s">
        <v>124</v>
      </c>
      <c r="H25" t="s">
        <v>469</v>
      </c>
      <c r="I25" t="s">
        <v>469</v>
      </c>
      <c r="J25" t="s">
        <v>41</v>
      </c>
      <c r="K25" t="s">
        <v>126</v>
      </c>
      <c r="L25" t="s">
        <v>127</v>
      </c>
      <c r="M25" t="s">
        <v>28</v>
      </c>
      <c r="N25" t="s">
        <v>128</v>
      </c>
      <c r="O25" t="s">
        <v>28</v>
      </c>
      <c r="P25" t="s">
        <v>28</v>
      </c>
      <c r="Q25" t="s">
        <v>129</v>
      </c>
      <c r="R25" t="s">
        <v>130</v>
      </c>
      <c r="S25" t="s">
        <v>131</v>
      </c>
    </row>
    <row r="26" spans="1:20" x14ac:dyDescent="0.25">
      <c r="A26" t="s">
        <v>132</v>
      </c>
      <c r="B26" t="s">
        <v>133</v>
      </c>
      <c r="C26" t="str">
        <f>_xlfn.XLOOKUP(D26,Buckets!A:A,Buckets!B:B)</f>
        <v>SMED</v>
      </c>
      <c r="D26" t="s">
        <v>470</v>
      </c>
      <c r="E26" t="s">
        <v>471</v>
      </c>
      <c r="F26" t="s">
        <v>29</v>
      </c>
      <c r="G26" t="s">
        <v>30</v>
      </c>
      <c r="H26" t="s">
        <v>472</v>
      </c>
      <c r="I26" t="s">
        <v>458</v>
      </c>
      <c r="J26" t="s">
        <v>41</v>
      </c>
      <c r="K26" t="s">
        <v>137</v>
      </c>
      <c r="L26" t="s">
        <v>138</v>
      </c>
      <c r="M26" t="s">
        <v>28</v>
      </c>
      <c r="N26" t="s">
        <v>35</v>
      </c>
      <c r="O26" t="s">
        <v>28</v>
      </c>
      <c r="P26" t="s">
        <v>28</v>
      </c>
      <c r="Q26" t="s">
        <v>139</v>
      </c>
      <c r="R26" t="s">
        <v>140</v>
      </c>
      <c r="S26" t="s">
        <v>28</v>
      </c>
    </row>
    <row r="27" spans="1:20" x14ac:dyDescent="0.25">
      <c r="A27" t="s">
        <v>141</v>
      </c>
      <c r="B27" t="s">
        <v>142</v>
      </c>
      <c r="C27" t="str">
        <f>_xlfn.XLOOKUP(D27,Buckets!A:A,Buckets!B:B)</f>
        <v>Programa de Melhorias</v>
      </c>
      <c r="D27" t="s">
        <v>473</v>
      </c>
      <c r="E27" t="s">
        <v>28</v>
      </c>
      <c r="F27" t="s">
        <v>123</v>
      </c>
      <c r="G27" t="s">
        <v>30</v>
      </c>
      <c r="H27" t="s">
        <v>474</v>
      </c>
      <c r="I27" t="s">
        <v>474</v>
      </c>
      <c r="J27" t="s">
        <v>41</v>
      </c>
      <c r="K27" t="s">
        <v>145</v>
      </c>
      <c r="L27" t="s">
        <v>28</v>
      </c>
      <c r="M27" t="s">
        <v>28</v>
      </c>
      <c r="N27" t="s">
        <v>35</v>
      </c>
      <c r="O27" t="s">
        <v>28</v>
      </c>
      <c r="P27" t="s">
        <v>28</v>
      </c>
      <c r="Q27" t="s">
        <v>146</v>
      </c>
      <c r="R27" t="s">
        <v>147</v>
      </c>
      <c r="S27" t="s">
        <v>28</v>
      </c>
    </row>
    <row r="28" spans="1:20" x14ac:dyDescent="0.25">
      <c r="A28" t="s">
        <v>148</v>
      </c>
      <c r="B28" t="s">
        <v>149</v>
      </c>
      <c r="C28" t="str">
        <f>_xlfn.XLOOKUP(D28,Buckets!A:A,Buckets!B:B)</f>
        <v>MOI, MOA, MODS</v>
      </c>
      <c r="D28" t="s">
        <v>467</v>
      </c>
      <c r="E28" t="s">
        <v>468</v>
      </c>
      <c r="F28" t="s">
        <v>123</v>
      </c>
      <c r="G28" t="s">
        <v>124</v>
      </c>
      <c r="H28" t="s">
        <v>469</v>
      </c>
      <c r="I28" t="s">
        <v>469</v>
      </c>
      <c r="J28" t="s">
        <v>41</v>
      </c>
      <c r="K28" t="s">
        <v>150</v>
      </c>
      <c r="L28" t="s">
        <v>127</v>
      </c>
      <c r="M28" t="s">
        <v>28</v>
      </c>
      <c r="N28" t="s">
        <v>128</v>
      </c>
      <c r="O28" t="s">
        <v>28</v>
      </c>
      <c r="P28" t="s">
        <v>28</v>
      </c>
      <c r="Q28" t="s">
        <v>151</v>
      </c>
      <c r="R28" t="s">
        <v>152</v>
      </c>
      <c r="S28" t="s">
        <v>131</v>
      </c>
    </row>
    <row r="29" spans="1:20" x14ac:dyDescent="0.25">
      <c r="A29" t="s">
        <v>153</v>
      </c>
      <c r="B29" t="s">
        <v>154</v>
      </c>
      <c r="C29" t="str">
        <f>_xlfn.XLOOKUP(D29,Buckets!A:A,Buckets!B:B)</f>
        <v>MOI, MOA, MODS</v>
      </c>
      <c r="D29" t="s">
        <v>467</v>
      </c>
      <c r="E29" t="s">
        <v>468</v>
      </c>
      <c r="F29" t="s">
        <v>29</v>
      </c>
      <c r="G29" t="s">
        <v>124</v>
      </c>
      <c r="H29" t="s">
        <v>28</v>
      </c>
      <c r="I29" t="s">
        <v>469</v>
      </c>
      <c r="J29" t="s">
        <v>41</v>
      </c>
      <c r="K29" t="s">
        <v>28</v>
      </c>
      <c r="L29" t="s">
        <v>28</v>
      </c>
      <c r="M29" t="s">
        <v>28</v>
      </c>
      <c r="N29" t="s">
        <v>35</v>
      </c>
      <c r="O29" t="s">
        <v>28</v>
      </c>
      <c r="P29" t="s">
        <v>28</v>
      </c>
      <c r="Q29" t="s">
        <v>155</v>
      </c>
      <c r="R29" t="s">
        <v>156</v>
      </c>
      <c r="S29" t="s">
        <v>131</v>
      </c>
    </row>
    <row r="30" spans="1:20" x14ac:dyDescent="0.25">
      <c r="A30" t="s">
        <v>157</v>
      </c>
      <c r="B30" t="s">
        <v>158</v>
      </c>
      <c r="C30" t="str">
        <f>_xlfn.XLOOKUP(D30,Buckets!A:A,Buckets!B:B)</f>
        <v>SMED</v>
      </c>
      <c r="D30" t="s">
        <v>470</v>
      </c>
      <c r="E30" t="s">
        <v>471</v>
      </c>
      <c r="F30" t="s">
        <v>29</v>
      </c>
      <c r="G30" t="s">
        <v>30</v>
      </c>
      <c r="H30" t="s">
        <v>472</v>
      </c>
      <c r="I30" t="s">
        <v>458</v>
      </c>
      <c r="J30" t="s">
        <v>41</v>
      </c>
      <c r="K30" t="s">
        <v>159</v>
      </c>
      <c r="L30" t="s">
        <v>28</v>
      </c>
      <c r="M30" t="s">
        <v>28</v>
      </c>
      <c r="N30" t="s">
        <v>35</v>
      </c>
      <c r="O30" t="s">
        <v>28</v>
      </c>
      <c r="P30" t="s">
        <v>28</v>
      </c>
      <c r="Q30" t="s">
        <v>160</v>
      </c>
      <c r="R30" t="s">
        <v>161</v>
      </c>
      <c r="S30" t="s">
        <v>28</v>
      </c>
    </row>
    <row r="31" spans="1:20" x14ac:dyDescent="0.25">
      <c r="A31" t="s">
        <v>162</v>
      </c>
      <c r="B31" t="s">
        <v>163</v>
      </c>
      <c r="C31" t="str">
        <f>_xlfn.XLOOKUP(D31,Buckets!A:A,Buckets!B:B)</f>
        <v>MOI, MOA, MODS</v>
      </c>
      <c r="D31" t="s">
        <v>467</v>
      </c>
      <c r="E31" t="s">
        <v>468</v>
      </c>
      <c r="F31" t="s">
        <v>123</v>
      </c>
      <c r="G31" t="s">
        <v>124</v>
      </c>
      <c r="H31" t="s">
        <v>475</v>
      </c>
      <c r="I31" t="s">
        <v>469</v>
      </c>
      <c r="J31" t="s">
        <v>41</v>
      </c>
      <c r="K31" t="s">
        <v>28</v>
      </c>
      <c r="L31" t="s">
        <v>165</v>
      </c>
      <c r="M31" t="s">
        <v>28</v>
      </c>
      <c r="N31" t="s">
        <v>35</v>
      </c>
      <c r="O31" t="s">
        <v>28</v>
      </c>
      <c r="P31" t="s">
        <v>28</v>
      </c>
      <c r="Q31" t="s">
        <v>166</v>
      </c>
      <c r="R31" t="s">
        <v>167</v>
      </c>
      <c r="S31" t="s">
        <v>28</v>
      </c>
      <c r="T31" t="s">
        <v>168</v>
      </c>
    </row>
    <row r="32" spans="1:20" x14ac:dyDescent="0.25">
      <c r="A32" t="s">
        <v>169</v>
      </c>
      <c r="B32" t="s">
        <v>170</v>
      </c>
      <c r="C32" t="str">
        <f>_xlfn.XLOOKUP(D32,Buckets!A:A,Buckets!B:B)</f>
        <v>Programa de Melhorias</v>
      </c>
      <c r="D32" t="s">
        <v>473</v>
      </c>
      <c r="E32" t="s">
        <v>476</v>
      </c>
      <c r="F32" t="s">
        <v>39</v>
      </c>
      <c r="G32" t="s">
        <v>30</v>
      </c>
      <c r="H32" t="s">
        <v>474</v>
      </c>
      <c r="I32" t="s">
        <v>474</v>
      </c>
      <c r="J32" t="s">
        <v>41</v>
      </c>
      <c r="K32" t="s">
        <v>150</v>
      </c>
      <c r="L32" t="s">
        <v>28</v>
      </c>
      <c r="M32" t="s">
        <v>28</v>
      </c>
      <c r="N32" t="s">
        <v>35</v>
      </c>
      <c r="O32" t="s">
        <v>126</v>
      </c>
      <c r="P32" t="s">
        <v>474</v>
      </c>
      <c r="Q32" t="s">
        <v>172</v>
      </c>
      <c r="R32" t="s">
        <v>173</v>
      </c>
      <c r="S32" t="s">
        <v>28</v>
      </c>
      <c r="T32" t="s">
        <v>174</v>
      </c>
    </row>
    <row r="33" spans="1:20" x14ac:dyDescent="0.25">
      <c r="A33" t="s">
        <v>175</v>
      </c>
      <c r="B33" t="s">
        <v>176</v>
      </c>
      <c r="C33" t="str">
        <f>_xlfn.XLOOKUP(D33,Buckets!A:A,Buckets!B:B)</f>
        <v>Padronizações/Certificações</v>
      </c>
      <c r="D33" t="s">
        <v>477</v>
      </c>
      <c r="E33" t="s">
        <v>28</v>
      </c>
      <c r="F33" t="s">
        <v>29</v>
      </c>
      <c r="G33" t="s">
        <v>30</v>
      </c>
      <c r="H33" t="s">
        <v>474</v>
      </c>
      <c r="I33" t="s">
        <v>474</v>
      </c>
      <c r="J33" t="s">
        <v>41</v>
      </c>
      <c r="K33" t="s">
        <v>137</v>
      </c>
      <c r="L33" t="s">
        <v>28</v>
      </c>
      <c r="M33" t="s">
        <v>28</v>
      </c>
      <c r="N33" t="s">
        <v>35</v>
      </c>
      <c r="O33" t="s">
        <v>28</v>
      </c>
      <c r="P33" t="s">
        <v>28</v>
      </c>
      <c r="Q33" t="s">
        <v>178</v>
      </c>
      <c r="R33" t="s">
        <v>179</v>
      </c>
      <c r="S33" t="s">
        <v>28</v>
      </c>
    </row>
    <row r="34" spans="1:20" x14ac:dyDescent="0.25">
      <c r="A34" t="s">
        <v>180</v>
      </c>
      <c r="B34" t="s">
        <v>181</v>
      </c>
      <c r="C34" t="str">
        <f>_xlfn.XLOOKUP(D34,Buckets!A:A,Buckets!B:B)</f>
        <v>Padronizações/Certificações</v>
      </c>
      <c r="D34" t="s">
        <v>477</v>
      </c>
      <c r="E34" t="s">
        <v>28</v>
      </c>
      <c r="F34" t="s">
        <v>29</v>
      </c>
      <c r="G34" t="s">
        <v>30</v>
      </c>
      <c r="H34" t="s">
        <v>28</v>
      </c>
      <c r="I34" t="s">
        <v>474</v>
      </c>
      <c r="J34" t="s">
        <v>41</v>
      </c>
      <c r="K34" t="s">
        <v>28</v>
      </c>
      <c r="L34" t="s">
        <v>28</v>
      </c>
      <c r="M34" t="s">
        <v>28</v>
      </c>
      <c r="N34" t="s">
        <v>35</v>
      </c>
      <c r="O34" t="s">
        <v>28</v>
      </c>
      <c r="P34" t="s">
        <v>28</v>
      </c>
      <c r="Q34" t="s">
        <v>28</v>
      </c>
      <c r="R34" t="s">
        <v>28</v>
      </c>
      <c r="S34" t="s">
        <v>28</v>
      </c>
    </row>
    <row r="35" spans="1:20" x14ac:dyDescent="0.25">
      <c r="A35" t="s">
        <v>182</v>
      </c>
      <c r="B35" t="s">
        <v>183</v>
      </c>
      <c r="C35" t="str">
        <f>_xlfn.XLOOKUP(D35,Buckets!A:A,Buckets!B:B)</f>
        <v>Padronizações/Certificações</v>
      </c>
      <c r="D35" t="s">
        <v>477</v>
      </c>
      <c r="E35" t="s">
        <v>28</v>
      </c>
      <c r="F35" t="s">
        <v>29</v>
      </c>
      <c r="G35" t="s">
        <v>30</v>
      </c>
      <c r="H35" t="s">
        <v>28</v>
      </c>
      <c r="I35" t="s">
        <v>474</v>
      </c>
      <c r="J35" t="s">
        <v>41</v>
      </c>
      <c r="K35" t="s">
        <v>28</v>
      </c>
      <c r="L35" t="s">
        <v>28</v>
      </c>
      <c r="M35" t="s">
        <v>28</v>
      </c>
      <c r="N35" t="s">
        <v>35</v>
      </c>
      <c r="O35" t="s">
        <v>28</v>
      </c>
      <c r="P35" t="s">
        <v>28</v>
      </c>
      <c r="Q35" t="s">
        <v>28</v>
      </c>
      <c r="R35" t="s">
        <v>28</v>
      </c>
      <c r="S35" t="s">
        <v>28</v>
      </c>
    </row>
    <row r="36" spans="1:20" x14ac:dyDescent="0.25">
      <c r="A36" t="s">
        <v>184</v>
      </c>
      <c r="B36" t="s">
        <v>185</v>
      </c>
      <c r="C36" t="str">
        <f>_xlfn.XLOOKUP(D36,Buckets!A:A,Buckets!B:B)</f>
        <v>Programa de Melhorias</v>
      </c>
      <c r="D36" t="s">
        <v>473</v>
      </c>
      <c r="E36" t="s">
        <v>28</v>
      </c>
      <c r="F36" t="s">
        <v>123</v>
      </c>
      <c r="G36" t="s">
        <v>30</v>
      </c>
      <c r="H36" t="s">
        <v>478</v>
      </c>
      <c r="I36" t="s">
        <v>474</v>
      </c>
      <c r="J36" t="s">
        <v>41</v>
      </c>
      <c r="K36" t="s">
        <v>187</v>
      </c>
      <c r="L36" t="s">
        <v>28</v>
      </c>
      <c r="M36" t="s">
        <v>28</v>
      </c>
      <c r="N36" t="s">
        <v>128</v>
      </c>
      <c r="O36" t="s">
        <v>28</v>
      </c>
      <c r="P36" t="s">
        <v>28</v>
      </c>
      <c r="Q36" t="s">
        <v>188</v>
      </c>
      <c r="R36" t="s">
        <v>189</v>
      </c>
      <c r="S36" t="s">
        <v>28</v>
      </c>
    </row>
    <row r="37" spans="1:20" x14ac:dyDescent="0.25">
      <c r="A37" t="s">
        <v>190</v>
      </c>
      <c r="B37" t="s">
        <v>191</v>
      </c>
      <c r="C37" t="str">
        <f>_xlfn.XLOOKUP(D37,Buckets!A:A,Buckets!B:B)</f>
        <v>MTM/Impressão 3D</v>
      </c>
      <c r="D37" t="s">
        <v>479</v>
      </c>
      <c r="E37" t="s">
        <v>28</v>
      </c>
      <c r="F37" t="s">
        <v>39</v>
      </c>
      <c r="G37" t="s">
        <v>30</v>
      </c>
      <c r="H37" t="s">
        <v>480</v>
      </c>
      <c r="I37" t="s">
        <v>480</v>
      </c>
      <c r="J37" t="s">
        <v>41</v>
      </c>
      <c r="K37" t="s">
        <v>126</v>
      </c>
      <c r="L37" t="s">
        <v>138</v>
      </c>
      <c r="M37" t="s">
        <v>28</v>
      </c>
      <c r="N37" t="s">
        <v>35</v>
      </c>
      <c r="O37" t="s">
        <v>194</v>
      </c>
      <c r="P37" t="s">
        <v>480</v>
      </c>
      <c r="Q37" t="s">
        <v>28</v>
      </c>
      <c r="R37" t="s">
        <v>28</v>
      </c>
      <c r="S37" t="s">
        <v>28</v>
      </c>
    </row>
    <row r="38" spans="1:20" x14ac:dyDescent="0.25">
      <c r="A38" t="s">
        <v>195</v>
      </c>
      <c r="B38" t="s">
        <v>196</v>
      </c>
      <c r="C38" t="str">
        <f>_xlfn.XLOOKUP(D38,Buckets!A:A,Buckets!B:B)</f>
        <v>Padronizações/Certificações</v>
      </c>
      <c r="D38" t="s">
        <v>477</v>
      </c>
      <c r="E38" t="s">
        <v>28</v>
      </c>
      <c r="F38" t="s">
        <v>29</v>
      </c>
      <c r="G38" t="s">
        <v>30</v>
      </c>
      <c r="H38" t="s">
        <v>480</v>
      </c>
      <c r="I38" t="s">
        <v>480</v>
      </c>
      <c r="J38" t="s">
        <v>41</v>
      </c>
      <c r="K38" t="s">
        <v>126</v>
      </c>
      <c r="L38" t="s">
        <v>138</v>
      </c>
      <c r="M38" t="s">
        <v>28</v>
      </c>
      <c r="N38" t="s">
        <v>128</v>
      </c>
      <c r="O38" t="s">
        <v>28</v>
      </c>
      <c r="P38" t="s">
        <v>28</v>
      </c>
      <c r="Q38" t="s">
        <v>28</v>
      </c>
      <c r="R38" t="s">
        <v>28</v>
      </c>
      <c r="S38" t="s">
        <v>28</v>
      </c>
    </row>
    <row r="39" spans="1:20" x14ac:dyDescent="0.25">
      <c r="A39" t="s">
        <v>197</v>
      </c>
      <c r="B39" t="s">
        <v>198</v>
      </c>
      <c r="C39" t="str">
        <f>_xlfn.XLOOKUP(D39,Buckets!A:A,Buckets!B:B)</f>
        <v>RPA</v>
      </c>
      <c r="D39" t="s">
        <v>481</v>
      </c>
      <c r="E39" t="s">
        <v>28</v>
      </c>
      <c r="F39" t="s">
        <v>39</v>
      </c>
      <c r="G39" t="s">
        <v>200</v>
      </c>
      <c r="H39" t="s">
        <v>482</v>
      </c>
      <c r="I39" t="s">
        <v>482</v>
      </c>
      <c r="J39" t="s">
        <v>41</v>
      </c>
      <c r="K39" t="s">
        <v>126</v>
      </c>
      <c r="L39" t="s">
        <v>202</v>
      </c>
      <c r="M39" t="s">
        <v>28</v>
      </c>
      <c r="N39" t="s">
        <v>35</v>
      </c>
      <c r="O39" t="s">
        <v>203</v>
      </c>
      <c r="P39" t="s">
        <v>482</v>
      </c>
      <c r="Q39" t="s">
        <v>112</v>
      </c>
      <c r="R39" t="s">
        <v>204</v>
      </c>
      <c r="S39" t="s">
        <v>28</v>
      </c>
    </row>
    <row r="40" spans="1:20" x14ac:dyDescent="0.25">
      <c r="A40" t="s">
        <v>205</v>
      </c>
      <c r="B40" t="s">
        <v>206</v>
      </c>
      <c r="C40" t="str">
        <f>_xlfn.XLOOKUP(D40,Buckets!A:A,Buckets!B:B)</f>
        <v>SMED</v>
      </c>
      <c r="D40" t="s">
        <v>470</v>
      </c>
      <c r="E40" t="s">
        <v>468</v>
      </c>
      <c r="F40" t="s">
        <v>123</v>
      </c>
      <c r="G40" t="s">
        <v>124</v>
      </c>
      <c r="H40" t="s">
        <v>458</v>
      </c>
      <c r="I40" t="s">
        <v>483</v>
      </c>
      <c r="J40" t="s">
        <v>207</v>
      </c>
      <c r="K40" t="s">
        <v>137</v>
      </c>
      <c r="L40" t="s">
        <v>28</v>
      </c>
      <c r="M40" t="s">
        <v>28</v>
      </c>
      <c r="N40" t="s">
        <v>35</v>
      </c>
      <c r="O40" t="s">
        <v>28</v>
      </c>
      <c r="P40" t="s">
        <v>28</v>
      </c>
      <c r="Q40" t="s">
        <v>208</v>
      </c>
      <c r="R40" t="s">
        <v>209</v>
      </c>
      <c r="S40" t="s">
        <v>28</v>
      </c>
    </row>
    <row r="41" spans="1:20" x14ac:dyDescent="0.25">
      <c r="A41" t="s">
        <v>210</v>
      </c>
      <c r="B41" t="s">
        <v>211</v>
      </c>
      <c r="C41" t="str">
        <f>_xlfn.XLOOKUP(D41,Buckets!A:A,Buckets!B:B)</f>
        <v>Programa de Melhorias</v>
      </c>
      <c r="D41" t="s">
        <v>473</v>
      </c>
      <c r="E41" t="s">
        <v>28</v>
      </c>
      <c r="F41" t="s">
        <v>29</v>
      </c>
      <c r="G41" t="s">
        <v>30</v>
      </c>
      <c r="H41" t="s">
        <v>474</v>
      </c>
      <c r="I41" t="s">
        <v>474</v>
      </c>
      <c r="J41" t="s">
        <v>207</v>
      </c>
      <c r="K41" t="s">
        <v>145</v>
      </c>
      <c r="L41" t="s">
        <v>212</v>
      </c>
      <c r="M41" t="s">
        <v>28</v>
      </c>
      <c r="N41" t="s">
        <v>35</v>
      </c>
      <c r="O41" t="s">
        <v>28</v>
      </c>
      <c r="P41" t="s">
        <v>28</v>
      </c>
      <c r="Q41" t="s">
        <v>28</v>
      </c>
      <c r="R41" t="s">
        <v>28</v>
      </c>
      <c r="S41" t="s">
        <v>28</v>
      </c>
      <c r="T41" t="s">
        <v>213</v>
      </c>
    </row>
    <row r="42" spans="1:20" x14ac:dyDescent="0.25">
      <c r="A42" t="s">
        <v>214</v>
      </c>
      <c r="B42" t="s">
        <v>215</v>
      </c>
      <c r="C42" t="str">
        <f>_xlfn.XLOOKUP(D42,Buckets!A:A,Buckets!B:B)</f>
        <v>Programa de Melhorias</v>
      </c>
      <c r="D42" t="s">
        <v>473</v>
      </c>
      <c r="E42" t="s">
        <v>28</v>
      </c>
      <c r="F42" t="s">
        <v>29</v>
      </c>
      <c r="G42" t="s">
        <v>30</v>
      </c>
      <c r="H42" t="s">
        <v>474</v>
      </c>
      <c r="I42" t="s">
        <v>459</v>
      </c>
      <c r="J42" t="s">
        <v>216</v>
      </c>
      <c r="K42" t="s">
        <v>217</v>
      </c>
      <c r="L42" t="s">
        <v>218</v>
      </c>
      <c r="M42" t="s">
        <v>28</v>
      </c>
      <c r="N42" t="s">
        <v>35</v>
      </c>
      <c r="O42" t="s">
        <v>28</v>
      </c>
      <c r="P42" t="s">
        <v>28</v>
      </c>
      <c r="Q42" t="s">
        <v>28</v>
      </c>
      <c r="R42" t="s">
        <v>28</v>
      </c>
      <c r="S42" t="s">
        <v>28</v>
      </c>
    </row>
    <row r="43" spans="1:20" x14ac:dyDescent="0.25">
      <c r="A43" t="s">
        <v>219</v>
      </c>
      <c r="B43" t="s">
        <v>215</v>
      </c>
      <c r="C43" t="str">
        <f>_xlfn.XLOOKUP(D43,Buckets!A:A,Buckets!B:B)</f>
        <v>Programa de Melhorias</v>
      </c>
      <c r="D43" t="s">
        <v>473</v>
      </c>
      <c r="E43" t="s">
        <v>28</v>
      </c>
      <c r="F43" t="s">
        <v>39</v>
      </c>
      <c r="G43" t="s">
        <v>30</v>
      </c>
      <c r="H43" t="s">
        <v>474</v>
      </c>
      <c r="I43" t="s">
        <v>459</v>
      </c>
      <c r="J43" t="s">
        <v>216</v>
      </c>
      <c r="K43" t="s">
        <v>220</v>
      </c>
      <c r="L43" t="s">
        <v>33</v>
      </c>
      <c r="M43" t="s">
        <v>28</v>
      </c>
      <c r="N43" t="s">
        <v>35</v>
      </c>
      <c r="O43" t="s">
        <v>216</v>
      </c>
      <c r="P43" t="s">
        <v>459</v>
      </c>
      <c r="Q43" t="s">
        <v>28</v>
      </c>
      <c r="R43" t="s">
        <v>28</v>
      </c>
      <c r="S43" t="s">
        <v>28</v>
      </c>
    </row>
    <row r="44" spans="1:20" x14ac:dyDescent="0.25">
      <c r="A44" t="s">
        <v>221</v>
      </c>
      <c r="B44" t="s">
        <v>215</v>
      </c>
      <c r="C44" t="str">
        <f>_xlfn.XLOOKUP(D44,Buckets!A:A,Buckets!B:B)</f>
        <v>Programa de Melhorias</v>
      </c>
      <c r="D44" t="s">
        <v>473</v>
      </c>
      <c r="E44" t="s">
        <v>28</v>
      </c>
      <c r="F44" t="s">
        <v>39</v>
      </c>
      <c r="G44" t="s">
        <v>30</v>
      </c>
      <c r="H44" t="s">
        <v>474</v>
      </c>
      <c r="I44" t="s">
        <v>474</v>
      </c>
      <c r="J44" t="s">
        <v>203</v>
      </c>
      <c r="K44" t="s">
        <v>33</v>
      </c>
      <c r="L44" t="s">
        <v>212</v>
      </c>
      <c r="M44" t="s">
        <v>28</v>
      </c>
      <c r="N44" t="s">
        <v>35</v>
      </c>
      <c r="O44" t="s">
        <v>216</v>
      </c>
      <c r="P44" t="s">
        <v>459</v>
      </c>
      <c r="Q44" t="s">
        <v>28</v>
      </c>
      <c r="R44" t="s">
        <v>28</v>
      </c>
      <c r="S44" t="s">
        <v>28</v>
      </c>
    </row>
    <row r="45" spans="1:20" x14ac:dyDescent="0.25">
      <c r="A45" t="s">
        <v>222</v>
      </c>
      <c r="B45" t="s">
        <v>215</v>
      </c>
      <c r="C45" t="str">
        <f>_xlfn.XLOOKUP(D45,Buckets!A:A,Buckets!B:B)</f>
        <v>Programa de Melhorias</v>
      </c>
      <c r="D45" t="s">
        <v>473</v>
      </c>
      <c r="E45" t="s">
        <v>28</v>
      </c>
      <c r="F45" t="s">
        <v>39</v>
      </c>
      <c r="G45" t="s">
        <v>30</v>
      </c>
      <c r="H45" t="s">
        <v>474</v>
      </c>
      <c r="I45" t="s">
        <v>474</v>
      </c>
      <c r="J45" t="s">
        <v>207</v>
      </c>
      <c r="K45" t="s">
        <v>223</v>
      </c>
      <c r="L45" t="s">
        <v>41</v>
      </c>
      <c r="M45" t="s">
        <v>28</v>
      </c>
      <c r="N45" t="s">
        <v>35</v>
      </c>
      <c r="O45" t="s">
        <v>150</v>
      </c>
      <c r="P45" t="s">
        <v>474</v>
      </c>
      <c r="Q45" t="s">
        <v>28</v>
      </c>
      <c r="R45" t="s">
        <v>28</v>
      </c>
      <c r="S45" t="s">
        <v>28</v>
      </c>
    </row>
    <row r="46" spans="1:20" x14ac:dyDescent="0.25">
      <c r="A46" t="s">
        <v>224</v>
      </c>
      <c r="B46" t="s">
        <v>225</v>
      </c>
      <c r="C46" t="str">
        <f>_xlfn.XLOOKUP(D46,Buckets!A:A,Buckets!B:B)</f>
        <v>MTM/Impressão 3D</v>
      </c>
      <c r="D46" t="s">
        <v>479</v>
      </c>
      <c r="E46" t="s">
        <v>28</v>
      </c>
      <c r="F46" t="s">
        <v>39</v>
      </c>
      <c r="G46" t="s">
        <v>30</v>
      </c>
      <c r="H46" t="s">
        <v>480</v>
      </c>
      <c r="I46" t="s">
        <v>480</v>
      </c>
      <c r="J46" t="s">
        <v>207</v>
      </c>
      <c r="K46" t="s">
        <v>126</v>
      </c>
      <c r="L46" t="s">
        <v>138</v>
      </c>
      <c r="M46" t="s">
        <v>28</v>
      </c>
      <c r="N46" t="s">
        <v>35</v>
      </c>
      <c r="O46" t="s">
        <v>194</v>
      </c>
      <c r="P46" t="s">
        <v>480</v>
      </c>
      <c r="Q46" t="s">
        <v>28</v>
      </c>
      <c r="R46" t="s">
        <v>28</v>
      </c>
      <c r="S46" t="s">
        <v>28</v>
      </c>
    </row>
    <row r="47" spans="1:20" x14ac:dyDescent="0.25">
      <c r="A47" t="s">
        <v>226</v>
      </c>
      <c r="B47" t="s">
        <v>227</v>
      </c>
      <c r="C47" t="str">
        <f>_xlfn.XLOOKUP(D47,Buckets!A:A,Buckets!B:B)</f>
        <v>Padronizações/Certificações</v>
      </c>
      <c r="D47" t="s">
        <v>477</v>
      </c>
      <c r="E47" t="s">
        <v>28</v>
      </c>
      <c r="F47" t="s">
        <v>29</v>
      </c>
      <c r="G47" t="s">
        <v>30</v>
      </c>
      <c r="H47" t="s">
        <v>480</v>
      </c>
      <c r="I47" t="s">
        <v>480</v>
      </c>
      <c r="J47" t="s">
        <v>207</v>
      </c>
      <c r="K47" t="s">
        <v>145</v>
      </c>
      <c r="L47" t="s">
        <v>138</v>
      </c>
      <c r="M47" t="s">
        <v>28</v>
      </c>
      <c r="N47" t="s">
        <v>35</v>
      </c>
      <c r="O47" t="s">
        <v>28</v>
      </c>
      <c r="P47" t="s">
        <v>28</v>
      </c>
      <c r="Q47" t="s">
        <v>28</v>
      </c>
      <c r="R47" t="s">
        <v>28</v>
      </c>
      <c r="S47" t="s">
        <v>28</v>
      </c>
    </row>
    <row r="48" spans="1:20" x14ac:dyDescent="0.25">
      <c r="A48" t="s">
        <v>228</v>
      </c>
      <c r="B48" t="s">
        <v>229</v>
      </c>
      <c r="C48" t="str">
        <f>_xlfn.XLOOKUP(D48,Buckets!A:A,Buckets!B:B)</f>
        <v>Padronizações/Certificações</v>
      </c>
      <c r="D48" t="s">
        <v>477</v>
      </c>
      <c r="E48" t="s">
        <v>28</v>
      </c>
      <c r="F48" t="s">
        <v>29</v>
      </c>
      <c r="G48" t="s">
        <v>30</v>
      </c>
      <c r="H48" t="s">
        <v>480</v>
      </c>
      <c r="I48" t="s">
        <v>480</v>
      </c>
      <c r="J48" t="s">
        <v>207</v>
      </c>
      <c r="K48" t="s">
        <v>230</v>
      </c>
      <c r="L48" t="s">
        <v>138</v>
      </c>
      <c r="M48" t="s">
        <v>28</v>
      </c>
      <c r="N48" t="s">
        <v>35</v>
      </c>
      <c r="O48" t="s">
        <v>28</v>
      </c>
      <c r="P48" t="s">
        <v>28</v>
      </c>
      <c r="Q48" t="s">
        <v>231</v>
      </c>
      <c r="R48" t="s">
        <v>232</v>
      </c>
      <c r="S48" t="s">
        <v>28</v>
      </c>
    </row>
    <row r="49" spans="1:20" x14ac:dyDescent="0.25">
      <c r="A49" t="s">
        <v>233</v>
      </c>
      <c r="B49" t="s">
        <v>234</v>
      </c>
      <c r="C49" t="str">
        <f>_xlfn.XLOOKUP(D49,Buckets!A:A,Buckets!B:B)</f>
        <v>MOI, MOA, MODS</v>
      </c>
      <c r="D49" t="s">
        <v>467</v>
      </c>
      <c r="E49" t="s">
        <v>468</v>
      </c>
      <c r="F49" t="s">
        <v>29</v>
      </c>
      <c r="G49" t="s">
        <v>30</v>
      </c>
      <c r="H49" t="s">
        <v>484</v>
      </c>
      <c r="I49" t="s">
        <v>484</v>
      </c>
      <c r="J49" t="s">
        <v>207</v>
      </c>
      <c r="K49" t="s">
        <v>216</v>
      </c>
      <c r="L49" t="s">
        <v>28</v>
      </c>
      <c r="M49" t="s">
        <v>28</v>
      </c>
      <c r="N49" t="s">
        <v>128</v>
      </c>
      <c r="O49" t="s">
        <v>28</v>
      </c>
      <c r="P49" t="s">
        <v>28</v>
      </c>
      <c r="Q49" t="s">
        <v>236</v>
      </c>
      <c r="R49" t="s">
        <v>237</v>
      </c>
      <c r="S49" t="s">
        <v>28</v>
      </c>
    </row>
    <row r="50" spans="1:20" x14ac:dyDescent="0.25">
      <c r="A50" t="s">
        <v>238</v>
      </c>
      <c r="B50" t="s">
        <v>239</v>
      </c>
      <c r="C50" t="str">
        <f>_xlfn.XLOOKUP(D50,Buckets!A:A,Buckets!B:B)</f>
        <v>MTM/Impressão 3D</v>
      </c>
      <c r="D50" t="s">
        <v>479</v>
      </c>
      <c r="E50" t="s">
        <v>28</v>
      </c>
      <c r="F50" t="s">
        <v>39</v>
      </c>
      <c r="G50" t="s">
        <v>30</v>
      </c>
      <c r="H50" t="s">
        <v>480</v>
      </c>
      <c r="I50" t="s">
        <v>480</v>
      </c>
      <c r="J50" t="s">
        <v>207</v>
      </c>
      <c r="K50" t="s">
        <v>223</v>
      </c>
      <c r="L50" t="s">
        <v>138</v>
      </c>
      <c r="M50" t="s">
        <v>28</v>
      </c>
      <c r="N50" t="s">
        <v>35</v>
      </c>
      <c r="O50" t="s">
        <v>203</v>
      </c>
      <c r="P50" t="s">
        <v>480</v>
      </c>
      <c r="Q50" t="s">
        <v>28</v>
      </c>
      <c r="R50" t="s">
        <v>28</v>
      </c>
      <c r="S50" t="s">
        <v>28</v>
      </c>
    </row>
    <row r="51" spans="1:20" x14ac:dyDescent="0.25">
      <c r="A51" t="s">
        <v>240</v>
      </c>
      <c r="B51" t="s">
        <v>241</v>
      </c>
      <c r="C51" t="str">
        <f>_xlfn.XLOOKUP(D51,Buckets!A:A,Buckets!B:B)</f>
        <v>Padronizações/Certificações</v>
      </c>
      <c r="D51" t="s">
        <v>477</v>
      </c>
      <c r="E51" t="s">
        <v>28</v>
      </c>
      <c r="F51" t="s">
        <v>123</v>
      </c>
      <c r="G51" t="s">
        <v>124</v>
      </c>
      <c r="H51" t="s">
        <v>480</v>
      </c>
      <c r="I51" t="s">
        <v>480</v>
      </c>
      <c r="J51" t="s">
        <v>138</v>
      </c>
      <c r="K51" t="s">
        <v>145</v>
      </c>
      <c r="L51" t="s">
        <v>138</v>
      </c>
      <c r="M51" t="s">
        <v>28</v>
      </c>
      <c r="N51" t="s">
        <v>35</v>
      </c>
      <c r="O51" t="s">
        <v>28</v>
      </c>
      <c r="P51" t="s">
        <v>28</v>
      </c>
      <c r="Q51" t="s">
        <v>28</v>
      </c>
      <c r="R51" t="s">
        <v>28</v>
      </c>
      <c r="S51" t="s">
        <v>28</v>
      </c>
    </row>
    <row r="52" spans="1:20" x14ac:dyDescent="0.25">
      <c r="A52" t="s">
        <v>242</v>
      </c>
      <c r="B52" t="s">
        <v>243</v>
      </c>
      <c r="C52" t="str">
        <f>_xlfn.XLOOKUP(D52,Buckets!A:A,Buckets!B:B)</f>
        <v>MOI, MOA, MODS</v>
      </c>
      <c r="D52" t="s">
        <v>467</v>
      </c>
      <c r="E52" t="s">
        <v>468</v>
      </c>
      <c r="F52" t="s">
        <v>29</v>
      </c>
      <c r="G52" t="s">
        <v>30</v>
      </c>
      <c r="H52" t="s">
        <v>28</v>
      </c>
      <c r="I52" t="s">
        <v>459</v>
      </c>
      <c r="J52" t="s">
        <v>138</v>
      </c>
      <c r="K52" t="s">
        <v>28</v>
      </c>
      <c r="L52" t="s">
        <v>28</v>
      </c>
      <c r="M52" t="s">
        <v>28</v>
      </c>
      <c r="N52" t="s">
        <v>35</v>
      </c>
      <c r="O52" t="s">
        <v>28</v>
      </c>
      <c r="P52" t="s">
        <v>28</v>
      </c>
      <c r="Q52" t="s">
        <v>178</v>
      </c>
      <c r="R52" t="s">
        <v>244</v>
      </c>
      <c r="S52" t="s">
        <v>28</v>
      </c>
    </row>
    <row r="53" spans="1:20" x14ac:dyDescent="0.25">
      <c r="A53" t="s">
        <v>245</v>
      </c>
      <c r="B53" t="s">
        <v>246</v>
      </c>
      <c r="C53" t="str">
        <f>_xlfn.XLOOKUP(D53,Buckets!A:A,Buckets!B:B)</f>
        <v>MOI, MOA, MODS</v>
      </c>
      <c r="D53" t="s">
        <v>467</v>
      </c>
      <c r="E53" t="s">
        <v>468</v>
      </c>
      <c r="F53" t="s">
        <v>29</v>
      </c>
      <c r="G53" t="s">
        <v>30</v>
      </c>
      <c r="H53" t="s">
        <v>484</v>
      </c>
      <c r="I53" t="s">
        <v>459</v>
      </c>
      <c r="J53" t="s">
        <v>138</v>
      </c>
      <c r="K53" t="s">
        <v>28</v>
      </c>
      <c r="L53" t="s">
        <v>28</v>
      </c>
      <c r="M53" t="s">
        <v>28</v>
      </c>
      <c r="N53" t="s">
        <v>35</v>
      </c>
      <c r="O53" t="s">
        <v>28</v>
      </c>
      <c r="P53" t="s">
        <v>28</v>
      </c>
      <c r="Q53" t="s">
        <v>178</v>
      </c>
      <c r="R53" t="s">
        <v>244</v>
      </c>
      <c r="S53" t="s">
        <v>28</v>
      </c>
    </row>
    <row r="54" spans="1:20" x14ac:dyDescent="0.25">
      <c r="A54" t="s">
        <v>247</v>
      </c>
      <c r="B54" t="s">
        <v>248</v>
      </c>
      <c r="C54" t="str">
        <f>_xlfn.XLOOKUP(D54,Buckets!A:A,Buckets!B:B)</f>
        <v>MOI, MOA, MODS</v>
      </c>
      <c r="D54" t="s">
        <v>467</v>
      </c>
      <c r="E54" t="s">
        <v>468</v>
      </c>
      <c r="F54" t="s">
        <v>29</v>
      </c>
      <c r="G54" t="s">
        <v>30</v>
      </c>
      <c r="H54" t="s">
        <v>484</v>
      </c>
      <c r="I54" t="s">
        <v>459</v>
      </c>
      <c r="J54" t="s">
        <v>138</v>
      </c>
      <c r="K54" t="s">
        <v>28</v>
      </c>
      <c r="L54" t="s">
        <v>28</v>
      </c>
      <c r="M54" t="s">
        <v>28</v>
      </c>
      <c r="N54" t="s">
        <v>35</v>
      </c>
      <c r="O54" t="s">
        <v>28</v>
      </c>
      <c r="P54" t="s">
        <v>28</v>
      </c>
      <c r="Q54" t="s">
        <v>178</v>
      </c>
      <c r="R54" t="s">
        <v>249</v>
      </c>
      <c r="S54" t="s">
        <v>28</v>
      </c>
    </row>
    <row r="55" spans="1:20" x14ac:dyDescent="0.25">
      <c r="A55" t="s">
        <v>250</v>
      </c>
      <c r="B55" t="s">
        <v>251</v>
      </c>
      <c r="C55" t="str">
        <f>_xlfn.XLOOKUP(D55,Buckets!A:A,Buckets!B:B)</f>
        <v>MOI, MOA, MODS</v>
      </c>
      <c r="D55" t="s">
        <v>467</v>
      </c>
      <c r="E55" t="s">
        <v>468</v>
      </c>
      <c r="F55" t="s">
        <v>39</v>
      </c>
      <c r="G55" t="s">
        <v>30</v>
      </c>
      <c r="H55" t="s">
        <v>484</v>
      </c>
      <c r="I55" t="s">
        <v>459</v>
      </c>
      <c r="J55" t="s">
        <v>138</v>
      </c>
      <c r="K55" t="s">
        <v>187</v>
      </c>
      <c r="L55" t="s">
        <v>28</v>
      </c>
      <c r="M55" t="s">
        <v>28</v>
      </c>
      <c r="N55" t="s">
        <v>35</v>
      </c>
      <c r="O55" t="s">
        <v>138</v>
      </c>
      <c r="P55" t="s">
        <v>459</v>
      </c>
      <c r="Q55" t="s">
        <v>112</v>
      </c>
      <c r="R55" t="s">
        <v>252</v>
      </c>
      <c r="S55" t="s">
        <v>28</v>
      </c>
    </row>
    <row r="56" spans="1:20" x14ac:dyDescent="0.25">
      <c r="A56" t="s">
        <v>253</v>
      </c>
      <c r="B56" t="s">
        <v>254</v>
      </c>
      <c r="C56" t="str">
        <f>_xlfn.XLOOKUP(D56,Buckets!A:A,Buckets!B:B)</f>
        <v>RPA</v>
      </c>
      <c r="D56" t="s">
        <v>481</v>
      </c>
      <c r="E56" t="s">
        <v>28</v>
      </c>
      <c r="F56" t="s">
        <v>39</v>
      </c>
      <c r="G56" t="s">
        <v>30</v>
      </c>
      <c r="H56" t="s">
        <v>478</v>
      </c>
      <c r="I56" t="s">
        <v>478</v>
      </c>
      <c r="J56" t="s">
        <v>223</v>
      </c>
      <c r="K56" t="s">
        <v>41</v>
      </c>
      <c r="L56" t="s">
        <v>28</v>
      </c>
      <c r="M56" t="s">
        <v>28</v>
      </c>
      <c r="N56" t="s">
        <v>35</v>
      </c>
      <c r="O56" t="s">
        <v>216</v>
      </c>
      <c r="P56" t="s">
        <v>474</v>
      </c>
      <c r="Q56" t="s">
        <v>112</v>
      </c>
      <c r="R56" t="s">
        <v>255</v>
      </c>
      <c r="S56" t="s">
        <v>28</v>
      </c>
    </row>
    <row r="57" spans="1:20" x14ac:dyDescent="0.25">
      <c r="A57" t="s">
        <v>256</v>
      </c>
      <c r="B57" t="s">
        <v>257</v>
      </c>
      <c r="C57" t="str">
        <f>_xlfn.XLOOKUP(D57,Buckets!A:A,Buckets!B:B)</f>
        <v>RPA</v>
      </c>
      <c r="D57" t="s">
        <v>481</v>
      </c>
      <c r="E57" t="s">
        <v>28</v>
      </c>
      <c r="F57" t="s">
        <v>39</v>
      </c>
      <c r="G57" t="s">
        <v>30</v>
      </c>
      <c r="H57" t="s">
        <v>478</v>
      </c>
      <c r="I57" t="s">
        <v>478</v>
      </c>
      <c r="J57" t="s">
        <v>223</v>
      </c>
      <c r="K57" t="s">
        <v>41</v>
      </c>
      <c r="L57" t="s">
        <v>28</v>
      </c>
      <c r="M57" t="s">
        <v>28</v>
      </c>
      <c r="N57" t="s">
        <v>35</v>
      </c>
      <c r="O57" t="s">
        <v>203</v>
      </c>
      <c r="P57" t="s">
        <v>478</v>
      </c>
      <c r="Q57" t="s">
        <v>28</v>
      </c>
      <c r="R57" t="s">
        <v>28</v>
      </c>
      <c r="S57" t="s">
        <v>28</v>
      </c>
    </row>
    <row r="58" spans="1:20" x14ac:dyDescent="0.25">
      <c r="A58" t="s">
        <v>258</v>
      </c>
      <c r="B58" t="s">
        <v>259</v>
      </c>
      <c r="C58" t="str">
        <f>_xlfn.XLOOKUP(D58,Buckets!A:A,Buckets!B:B)</f>
        <v>RPA</v>
      </c>
      <c r="D58" t="s">
        <v>481</v>
      </c>
      <c r="E58" t="s">
        <v>28</v>
      </c>
      <c r="F58" t="s">
        <v>29</v>
      </c>
      <c r="G58" t="s">
        <v>260</v>
      </c>
      <c r="H58" t="s">
        <v>478</v>
      </c>
      <c r="I58" t="s">
        <v>478</v>
      </c>
      <c r="J58" t="s">
        <v>223</v>
      </c>
      <c r="K58" t="s">
        <v>41</v>
      </c>
      <c r="L58" t="s">
        <v>28</v>
      </c>
      <c r="M58" t="s">
        <v>28</v>
      </c>
      <c r="N58" t="s">
        <v>128</v>
      </c>
      <c r="O58" t="s">
        <v>28</v>
      </c>
      <c r="P58" t="s">
        <v>28</v>
      </c>
      <c r="Q58" t="s">
        <v>28</v>
      </c>
      <c r="R58" t="s">
        <v>28</v>
      </c>
      <c r="S58" t="s">
        <v>28</v>
      </c>
      <c r="T58" t="s">
        <v>261</v>
      </c>
    </row>
    <row r="59" spans="1:20" x14ac:dyDescent="0.25">
      <c r="A59" t="s">
        <v>262</v>
      </c>
      <c r="B59" t="s">
        <v>263</v>
      </c>
      <c r="C59" t="str">
        <f>_xlfn.XLOOKUP(D59,Buckets!A:A,Buckets!B:B)</f>
        <v>RPA</v>
      </c>
      <c r="D59" t="s">
        <v>481</v>
      </c>
      <c r="E59" t="s">
        <v>28</v>
      </c>
      <c r="F59" t="s">
        <v>39</v>
      </c>
      <c r="G59" t="s">
        <v>30</v>
      </c>
      <c r="H59" t="s">
        <v>485</v>
      </c>
      <c r="I59" t="s">
        <v>478</v>
      </c>
      <c r="J59" t="s">
        <v>223</v>
      </c>
      <c r="K59" t="s">
        <v>194</v>
      </c>
      <c r="L59" t="s">
        <v>28</v>
      </c>
      <c r="M59" t="s">
        <v>28</v>
      </c>
      <c r="N59" t="s">
        <v>35</v>
      </c>
      <c r="O59" t="s">
        <v>187</v>
      </c>
      <c r="P59" t="s">
        <v>478</v>
      </c>
      <c r="Q59" t="s">
        <v>112</v>
      </c>
      <c r="R59" t="s">
        <v>265</v>
      </c>
      <c r="S59" t="s">
        <v>28</v>
      </c>
    </row>
    <row r="60" spans="1:20" x14ac:dyDescent="0.25">
      <c r="A60" t="s">
        <v>266</v>
      </c>
      <c r="B60" t="s">
        <v>267</v>
      </c>
      <c r="C60" t="str">
        <f>_xlfn.XLOOKUP(D60,Buckets!A:A,Buckets!B:B)</f>
        <v>RPA</v>
      </c>
      <c r="D60" t="s">
        <v>481</v>
      </c>
      <c r="E60" t="s">
        <v>28</v>
      </c>
      <c r="F60" t="s">
        <v>123</v>
      </c>
      <c r="G60" t="s">
        <v>30</v>
      </c>
      <c r="H60" t="s">
        <v>478</v>
      </c>
      <c r="I60" t="s">
        <v>478</v>
      </c>
      <c r="J60" t="s">
        <v>223</v>
      </c>
      <c r="K60" t="s">
        <v>41</v>
      </c>
      <c r="L60" t="s">
        <v>28</v>
      </c>
      <c r="M60" t="s">
        <v>28</v>
      </c>
      <c r="N60" t="s">
        <v>128</v>
      </c>
      <c r="O60" t="s">
        <v>28</v>
      </c>
      <c r="P60" t="s">
        <v>28</v>
      </c>
      <c r="Q60" t="s">
        <v>268</v>
      </c>
      <c r="R60" t="s">
        <v>269</v>
      </c>
      <c r="S60" t="s">
        <v>28</v>
      </c>
      <c r="T60" t="s">
        <v>270</v>
      </c>
    </row>
    <row r="61" spans="1:20" x14ac:dyDescent="0.25">
      <c r="A61" t="s">
        <v>271</v>
      </c>
      <c r="B61" t="s">
        <v>272</v>
      </c>
      <c r="C61" t="str">
        <f>_xlfn.XLOOKUP(D61,Buckets!A:A,Buckets!B:B)</f>
        <v>Padronizações/Certificações</v>
      </c>
      <c r="D61" t="s">
        <v>477</v>
      </c>
      <c r="E61" t="s">
        <v>28</v>
      </c>
      <c r="F61" t="s">
        <v>39</v>
      </c>
      <c r="G61" t="s">
        <v>124</v>
      </c>
      <c r="H61" t="s">
        <v>480</v>
      </c>
      <c r="I61" t="s">
        <v>480</v>
      </c>
      <c r="J61" t="s">
        <v>150</v>
      </c>
      <c r="K61" t="s">
        <v>126</v>
      </c>
      <c r="L61" t="s">
        <v>138</v>
      </c>
      <c r="M61" t="s">
        <v>28</v>
      </c>
      <c r="N61" t="s">
        <v>35</v>
      </c>
      <c r="O61" t="s">
        <v>203</v>
      </c>
      <c r="P61" t="s">
        <v>480</v>
      </c>
      <c r="Q61" t="s">
        <v>28</v>
      </c>
      <c r="R61" t="s">
        <v>28</v>
      </c>
      <c r="S61" t="s">
        <v>28</v>
      </c>
    </row>
    <row r="62" spans="1:20" x14ac:dyDescent="0.25">
      <c r="A62" t="s">
        <v>273</v>
      </c>
      <c r="B62" t="s">
        <v>274</v>
      </c>
      <c r="C62" t="str">
        <f>_xlfn.XLOOKUP(D62,Buckets!A:A,Buckets!B:B)</f>
        <v>Padronizações/Certificações</v>
      </c>
      <c r="D62" t="s">
        <v>477</v>
      </c>
      <c r="E62" t="s">
        <v>28</v>
      </c>
      <c r="F62" t="s">
        <v>39</v>
      </c>
      <c r="G62" t="s">
        <v>124</v>
      </c>
      <c r="H62" t="s">
        <v>28</v>
      </c>
      <c r="I62" t="s">
        <v>480</v>
      </c>
      <c r="J62" t="s">
        <v>150</v>
      </c>
      <c r="K62" t="s">
        <v>126</v>
      </c>
      <c r="L62" t="s">
        <v>138</v>
      </c>
      <c r="M62" t="s">
        <v>28</v>
      </c>
      <c r="N62" t="s">
        <v>35</v>
      </c>
      <c r="O62" t="s">
        <v>203</v>
      </c>
      <c r="P62" t="s">
        <v>459</v>
      </c>
      <c r="Q62" t="s">
        <v>28</v>
      </c>
      <c r="R62" t="s">
        <v>28</v>
      </c>
      <c r="S62" t="s">
        <v>28</v>
      </c>
    </row>
    <row r="63" spans="1:20" x14ac:dyDescent="0.25">
      <c r="A63" t="s">
        <v>275</v>
      </c>
      <c r="B63" t="s">
        <v>276</v>
      </c>
      <c r="C63" t="str">
        <f>_xlfn.XLOOKUP(D63,Buckets!A:A,Buckets!B:B)</f>
        <v>MTM/Impressão 3D</v>
      </c>
      <c r="D63" t="s">
        <v>479</v>
      </c>
      <c r="E63" t="s">
        <v>28</v>
      </c>
      <c r="F63" t="s">
        <v>39</v>
      </c>
      <c r="G63" t="s">
        <v>30</v>
      </c>
      <c r="H63" t="s">
        <v>480</v>
      </c>
      <c r="I63" t="s">
        <v>480</v>
      </c>
      <c r="J63" t="s">
        <v>203</v>
      </c>
      <c r="K63" t="s">
        <v>277</v>
      </c>
      <c r="L63" t="s">
        <v>203</v>
      </c>
      <c r="M63" t="s">
        <v>28</v>
      </c>
      <c r="N63" t="s">
        <v>35</v>
      </c>
      <c r="O63" t="s">
        <v>216</v>
      </c>
      <c r="P63" t="s">
        <v>459</v>
      </c>
      <c r="Q63" t="s">
        <v>28</v>
      </c>
      <c r="R63" t="s">
        <v>28</v>
      </c>
      <c r="S63" t="s">
        <v>28</v>
      </c>
    </row>
    <row r="64" spans="1:20" x14ac:dyDescent="0.25">
      <c r="A64" t="s">
        <v>278</v>
      </c>
      <c r="B64" t="s">
        <v>279</v>
      </c>
      <c r="C64" t="str">
        <f>_xlfn.XLOOKUP(D64,Buckets!A:A,Buckets!B:B)</f>
        <v>MTM/Impressão 3D</v>
      </c>
      <c r="D64" t="s">
        <v>479</v>
      </c>
      <c r="E64" t="s">
        <v>28</v>
      </c>
      <c r="F64" t="s">
        <v>39</v>
      </c>
      <c r="G64" t="s">
        <v>30</v>
      </c>
      <c r="H64" t="s">
        <v>480</v>
      </c>
      <c r="I64" t="s">
        <v>480</v>
      </c>
      <c r="J64" t="s">
        <v>203</v>
      </c>
      <c r="K64" t="s">
        <v>126</v>
      </c>
      <c r="L64" t="s">
        <v>138</v>
      </c>
      <c r="M64" t="s">
        <v>28</v>
      </c>
      <c r="N64" t="s">
        <v>35</v>
      </c>
      <c r="O64" t="s">
        <v>203</v>
      </c>
      <c r="P64" t="s">
        <v>480</v>
      </c>
      <c r="Q64" t="s">
        <v>28</v>
      </c>
      <c r="R64" t="s">
        <v>28</v>
      </c>
      <c r="S64" t="s">
        <v>28</v>
      </c>
    </row>
    <row r="65" spans="1:20" x14ac:dyDescent="0.25">
      <c r="A65" t="s">
        <v>280</v>
      </c>
      <c r="B65" t="s">
        <v>281</v>
      </c>
      <c r="C65" t="str">
        <f>_xlfn.XLOOKUP(D65,Buckets!A:A,Buckets!B:B)</f>
        <v>RPA</v>
      </c>
      <c r="D65" t="s">
        <v>481</v>
      </c>
      <c r="E65" t="s">
        <v>28</v>
      </c>
      <c r="F65" t="s">
        <v>39</v>
      </c>
      <c r="G65" t="s">
        <v>30</v>
      </c>
      <c r="H65" t="s">
        <v>482</v>
      </c>
      <c r="I65" t="s">
        <v>482</v>
      </c>
      <c r="J65" t="s">
        <v>203</v>
      </c>
      <c r="K65" t="s">
        <v>187</v>
      </c>
      <c r="L65" t="s">
        <v>203</v>
      </c>
      <c r="M65" t="s">
        <v>28</v>
      </c>
      <c r="N65" t="s">
        <v>35</v>
      </c>
      <c r="O65" t="s">
        <v>187</v>
      </c>
      <c r="P65" t="s">
        <v>482</v>
      </c>
      <c r="Q65" t="s">
        <v>94</v>
      </c>
      <c r="R65" t="s">
        <v>282</v>
      </c>
      <c r="S65" t="s">
        <v>28</v>
      </c>
    </row>
    <row r="66" spans="1:20" x14ac:dyDescent="0.25">
      <c r="A66" t="s">
        <v>283</v>
      </c>
      <c r="B66" t="s">
        <v>284</v>
      </c>
      <c r="C66" t="str">
        <f>_xlfn.XLOOKUP(D66,Buckets!A:A,Buckets!B:B)</f>
        <v>SMED</v>
      </c>
      <c r="D66" t="s">
        <v>470</v>
      </c>
      <c r="E66" t="s">
        <v>28</v>
      </c>
      <c r="F66" t="s">
        <v>39</v>
      </c>
      <c r="G66" t="s">
        <v>124</v>
      </c>
      <c r="H66" t="s">
        <v>483</v>
      </c>
      <c r="I66" t="s">
        <v>483</v>
      </c>
      <c r="J66" t="s">
        <v>203</v>
      </c>
      <c r="K66" t="s">
        <v>187</v>
      </c>
      <c r="L66" t="s">
        <v>277</v>
      </c>
      <c r="M66" t="s">
        <v>28</v>
      </c>
      <c r="N66" t="s">
        <v>35</v>
      </c>
      <c r="O66" t="s">
        <v>285</v>
      </c>
      <c r="P66" t="s">
        <v>483</v>
      </c>
      <c r="Q66" t="s">
        <v>67</v>
      </c>
      <c r="R66" t="s">
        <v>286</v>
      </c>
      <c r="S66" t="s">
        <v>28</v>
      </c>
    </row>
    <row r="67" spans="1:20" x14ac:dyDescent="0.25">
      <c r="A67" t="s">
        <v>287</v>
      </c>
      <c r="B67" t="s">
        <v>288</v>
      </c>
      <c r="C67" t="str">
        <f>_xlfn.XLOOKUP(D67,Buckets!A:A,Buckets!B:B)</f>
        <v>RPA</v>
      </c>
      <c r="D67" t="s">
        <v>481</v>
      </c>
      <c r="E67" t="s">
        <v>28</v>
      </c>
      <c r="F67" t="s">
        <v>39</v>
      </c>
      <c r="G67" t="s">
        <v>30</v>
      </c>
      <c r="H67" t="s">
        <v>482</v>
      </c>
      <c r="I67" t="s">
        <v>482</v>
      </c>
      <c r="J67" t="s">
        <v>203</v>
      </c>
      <c r="K67" t="s">
        <v>126</v>
      </c>
      <c r="L67" t="s">
        <v>28</v>
      </c>
      <c r="M67" t="s">
        <v>28</v>
      </c>
      <c r="N67" t="s">
        <v>35</v>
      </c>
      <c r="O67" t="s">
        <v>187</v>
      </c>
      <c r="P67" t="s">
        <v>482</v>
      </c>
      <c r="Q67" t="s">
        <v>67</v>
      </c>
      <c r="R67" t="s">
        <v>289</v>
      </c>
      <c r="S67" t="s">
        <v>28</v>
      </c>
    </row>
    <row r="68" spans="1:20" x14ac:dyDescent="0.25">
      <c r="A68" t="s">
        <v>290</v>
      </c>
      <c r="B68" t="s">
        <v>291</v>
      </c>
      <c r="C68" t="str">
        <f>_xlfn.XLOOKUP(D68,Buckets!A:A,Buckets!B:B)</f>
        <v>Logística</v>
      </c>
      <c r="D68" t="s">
        <v>486</v>
      </c>
      <c r="E68" t="s">
        <v>28</v>
      </c>
      <c r="F68" t="s">
        <v>39</v>
      </c>
      <c r="G68" t="s">
        <v>30</v>
      </c>
      <c r="H68" t="s">
        <v>487</v>
      </c>
      <c r="I68" t="s">
        <v>459</v>
      </c>
      <c r="J68" t="s">
        <v>203</v>
      </c>
      <c r="K68" t="s">
        <v>126</v>
      </c>
      <c r="L68" t="s">
        <v>28</v>
      </c>
      <c r="M68" t="s">
        <v>28</v>
      </c>
      <c r="N68" t="s">
        <v>35</v>
      </c>
      <c r="O68" t="s">
        <v>203</v>
      </c>
      <c r="P68" t="s">
        <v>459</v>
      </c>
      <c r="Q68" t="s">
        <v>28</v>
      </c>
      <c r="R68" t="s">
        <v>28</v>
      </c>
      <c r="S68" t="s">
        <v>28</v>
      </c>
    </row>
    <row r="69" spans="1:20" x14ac:dyDescent="0.25">
      <c r="A69" t="s">
        <v>294</v>
      </c>
      <c r="B69" t="s">
        <v>295</v>
      </c>
      <c r="C69" t="str">
        <f>_xlfn.XLOOKUP(D69,Buckets!A:A,Buckets!B:B)</f>
        <v>Logística</v>
      </c>
      <c r="D69" t="s">
        <v>486</v>
      </c>
      <c r="E69" t="s">
        <v>28</v>
      </c>
      <c r="F69" t="s">
        <v>39</v>
      </c>
      <c r="G69" t="s">
        <v>30</v>
      </c>
      <c r="H69" t="s">
        <v>487</v>
      </c>
      <c r="I69" t="s">
        <v>459</v>
      </c>
      <c r="J69" t="s">
        <v>203</v>
      </c>
      <c r="K69" t="s">
        <v>28</v>
      </c>
      <c r="L69" t="s">
        <v>28</v>
      </c>
      <c r="M69" t="s">
        <v>28</v>
      </c>
      <c r="N69" t="s">
        <v>35</v>
      </c>
      <c r="O69" t="s">
        <v>203</v>
      </c>
      <c r="P69" t="s">
        <v>459</v>
      </c>
      <c r="Q69" t="s">
        <v>28</v>
      </c>
      <c r="R69" t="s">
        <v>28</v>
      </c>
      <c r="S69" t="s">
        <v>28</v>
      </c>
    </row>
    <row r="70" spans="1:20" x14ac:dyDescent="0.25">
      <c r="A70" t="s">
        <v>296</v>
      </c>
      <c r="B70" t="s">
        <v>297</v>
      </c>
      <c r="C70" t="str">
        <f>_xlfn.XLOOKUP(D70,Buckets!A:A,Buckets!B:B)</f>
        <v>Programa de Melhorias</v>
      </c>
      <c r="D70" t="s">
        <v>473</v>
      </c>
      <c r="E70" t="s">
        <v>28</v>
      </c>
      <c r="F70" t="s">
        <v>29</v>
      </c>
      <c r="G70" t="s">
        <v>30</v>
      </c>
      <c r="H70" t="s">
        <v>474</v>
      </c>
      <c r="I70" t="s">
        <v>474</v>
      </c>
      <c r="J70" t="s">
        <v>203</v>
      </c>
      <c r="K70" t="s">
        <v>5</v>
      </c>
      <c r="L70" t="s">
        <v>298</v>
      </c>
      <c r="M70" t="s">
        <v>28</v>
      </c>
      <c r="N70" t="s">
        <v>35</v>
      </c>
      <c r="O70" t="s">
        <v>28</v>
      </c>
      <c r="P70" t="s">
        <v>28</v>
      </c>
      <c r="Q70" t="s">
        <v>172</v>
      </c>
      <c r="R70" t="s">
        <v>299</v>
      </c>
      <c r="S70" t="s">
        <v>28</v>
      </c>
    </row>
    <row r="71" spans="1:20" x14ac:dyDescent="0.25">
      <c r="A71" t="s">
        <v>300</v>
      </c>
      <c r="B71" t="s">
        <v>301</v>
      </c>
      <c r="C71" t="str">
        <f>_xlfn.XLOOKUP(D71,Buckets!A:A,Buckets!B:B)</f>
        <v>SMED</v>
      </c>
      <c r="D71" t="s">
        <v>470</v>
      </c>
      <c r="E71" t="s">
        <v>28</v>
      </c>
      <c r="F71" t="s">
        <v>123</v>
      </c>
      <c r="G71" t="s">
        <v>30</v>
      </c>
      <c r="H71" t="s">
        <v>488</v>
      </c>
      <c r="I71" t="s">
        <v>488</v>
      </c>
      <c r="J71" t="s">
        <v>203</v>
      </c>
      <c r="K71" t="s">
        <v>303</v>
      </c>
      <c r="L71" t="s">
        <v>28</v>
      </c>
      <c r="M71" t="s">
        <v>28</v>
      </c>
      <c r="N71" t="s">
        <v>128</v>
      </c>
      <c r="O71" t="s">
        <v>28</v>
      </c>
      <c r="P71" t="s">
        <v>28</v>
      </c>
      <c r="Q71" t="s">
        <v>112</v>
      </c>
      <c r="R71" t="s">
        <v>304</v>
      </c>
      <c r="S71" t="s">
        <v>28</v>
      </c>
    </row>
    <row r="72" spans="1:20" x14ac:dyDescent="0.25">
      <c r="A72" t="s">
        <v>305</v>
      </c>
      <c r="B72" t="s">
        <v>306</v>
      </c>
      <c r="C72" t="str">
        <f>_xlfn.XLOOKUP(D72,Buckets!A:A,Buckets!B:B)</f>
        <v>Programa de Melhorias</v>
      </c>
      <c r="D72" t="s">
        <v>473</v>
      </c>
      <c r="E72" t="s">
        <v>28</v>
      </c>
      <c r="F72" t="s">
        <v>39</v>
      </c>
      <c r="G72" t="s">
        <v>124</v>
      </c>
      <c r="H72" t="s">
        <v>474</v>
      </c>
      <c r="I72" t="s">
        <v>474</v>
      </c>
      <c r="J72" t="s">
        <v>203</v>
      </c>
      <c r="K72" t="s">
        <v>187</v>
      </c>
      <c r="L72" t="s">
        <v>277</v>
      </c>
      <c r="M72" t="s">
        <v>28</v>
      </c>
      <c r="N72" t="s">
        <v>35</v>
      </c>
      <c r="O72" t="s">
        <v>187</v>
      </c>
      <c r="P72" t="s">
        <v>474</v>
      </c>
      <c r="Q72" t="s">
        <v>307</v>
      </c>
      <c r="R72" t="s">
        <v>308</v>
      </c>
      <c r="S72" t="s">
        <v>28</v>
      </c>
    </row>
    <row r="73" spans="1:20" x14ac:dyDescent="0.25">
      <c r="A73" t="s">
        <v>309</v>
      </c>
      <c r="B73" t="s">
        <v>310</v>
      </c>
      <c r="C73" t="str">
        <f>_xlfn.XLOOKUP(D73,Buckets!A:A,Buckets!B:B)</f>
        <v>RPA</v>
      </c>
      <c r="D73" t="s">
        <v>481</v>
      </c>
      <c r="E73" t="s">
        <v>28</v>
      </c>
      <c r="F73" t="s">
        <v>39</v>
      </c>
      <c r="G73" t="s">
        <v>124</v>
      </c>
      <c r="H73" t="s">
        <v>474</v>
      </c>
      <c r="I73" t="s">
        <v>474</v>
      </c>
      <c r="J73" t="s">
        <v>203</v>
      </c>
      <c r="K73" t="s">
        <v>187</v>
      </c>
      <c r="L73" t="s">
        <v>277</v>
      </c>
      <c r="M73" t="s">
        <v>28</v>
      </c>
      <c r="N73" t="s">
        <v>35</v>
      </c>
      <c r="O73" t="s">
        <v>33</v>
      </c>
      <c r="P73" t="s">
        <v>474</v>
      </c>
      <c r="Q73" t="s">
        <v>28</v>
      </c>
      <c r="R73" t="s">
        <v>28</v>
      </c>
      <c r="S73" t="s">
        <v>28</v>
      </c>
    </row>
    <row r="74" spans="1:20" x14ac:dyDescent="0.25">
      <c r="A74" t="s">
        <v>311</v>
      </c>
      <c r="B74" t="s">
        <v>312</v>
      </c>
      <c r="C74" t="str">
        <f>_xlfn.XLOOKUP(D74,Buckets!A:A,Buckets!B:B)</f>
        <v>SMED</v>
      </c>
      <c r="D74" t="s">
        <v>470</v>
      </c>
      <c r="E74" t="s">
        <v>28</v>
      </c>
      <c r="F74" t="s">
        <v>123</v>
      </c>
      <c r="G74" t="s">
        <v>30</v>
      </c>
      <c r="H74" t="s">
        <v>488</v>
      </c>
      <c r="I74" t="s">
        <v>488</v>
      </c>
      <c r="J74" t="s">
        <v>203</v>
      </c>
      <c r="K74" t="s">
        <v>187</v>
      </c>
      <c r="L74" t="s">
        <v>28</v>
      </c>
      <c r="M74" t="s">
        <v>28</v>
      </c>
      <c r="N74" t="s">
        <v>128</v>
      </c>
      <c r="O74" t="s">
        <v>28</v>
      </c>
      <c r="P74" t="s">
        <v>28</v>
      </c>
      <c r="Q74" t="s">
        <v>178</v>
      </c>
      <c r="R74" t="s">
        <v>313</v>
      </c>
      <c r="S74" t="s">
        <v>28</v>
      </c>
    </row>
    <row r="75" spans="1:20" x14ac:dyDescent="0.25">
      <c r="A75" t="s">
        <v>314</v>
      </c>
      <c r="B75" t="s">
        <v>315</v>
      </c>
      <c r="C75" t="str">
        <f>_xlfn.XLOOKUP(D75,Buckets!A:A,Buckets!B:B)</f>
        <v>Padronizações/Certificações</v>
      </c>
      <c r="D75" t="s">
        <v>477</v>
      </c>
      <c r="E75" t="s">
        <v>28</v>
      </c>
      <c r="F75" t="s">
        <v>29</v>
      </c>
      <c r="G75" t="s">
        <v>30</v>
      </c>
      <c r="H75" t="s">
        <v>474</v>
      </c>
      <c r="I75" t="s">
        <v>474</v>
      </c>
      <c r="J75" t="s">
        <v>203</v>
      </c>
      <c r="K75" t="s">
        <v>5</v>
      </c>
      <c r="L75" t="s">
        <v>277</v>
      </c>
      <c r="M75" t="s">
        <v>28</v>
      </c>
      <c r="N75" t="s">
        <v>35</v>
      </c>
      <c r="O75" t="s">
        <v>28</v>
      </c>
      <c r="P75" t="s">
        <v>28</v>
      </c>
      <c r="Q75" t="s">
        <v>28</v>
      </c>
      <c r="R75" t="s">
        <v>28</v>
      </c>
      <c r="S75" t="s">
        <v>28</v>
      </c>
    </row>
    <row r="76" spans="1:20" x14ac:dyDescent="0.25">
      <c r="A76" t="s">
        <v>316</v>
      </c>
      <c r="B76" t="s">
        <v>317</v>
      </c>
      <c r="C76" t="str">
        <f>_xlfn.XLOOKUP(D76,Buckets!A:A,Buckets!B:B)</f>
        <v>Pendências Fechamento de Indicadores</v>
      </c>
      <c r="D76" t="s">
        <v>489</v>
      </c>
      <c r="E76" t="s">
        <v>28</v>
      </c>
      <c r="F76" t="s">
        <v>29</v>
      </c>
      <c r="G76" t="s">
        <v>30</v>
      </c>
      <c r="H76" t="s">
        <v>28</v>
      </c>
      <c r="I76" t="s">
        <v>459</v>
      </c>
      <c r="J76" t="s">
        <v>203</v>
      </c>
      <c r="K76" t="s">
        <v>303</v>
      </c>
      <c r="L76" t="s">
        <v>28</v>
      </c>
      <c r="M76" t="s">
        <v>28</v>
      </c>
      <c r="N76" t="s">
        <v>128</v>
      </c>
      <c r="O76" t="s">
        <v>28</v>
      </c>
      <c r="P76" t="s">
        <v>28</v>
      </c>
      <c r="Q76" t="s">
        <v>307</v>
      </c>
      <c r="R76" t="s">
        <v>319</v>
      </c>
      <c r="S76" t="s">
        <v>28</v>
      </c>
    </row>
    <row r="77" spans="1:20" x14ac:dyDescent="0.25">
      <c r="A77" t="s">
        <v>320</v>
      </c>
      <c r="B77" t="s">
        <v>321</v>
      </c>
      <c r="C77" t="str">
        <f>_xlfn.XLOOKUP(D77,Buckets!A:A,Buckets!B:B)</f>
        <v>Pendências Fechamento de Indicadores</v>
      </c>
      <c r="D77" t="s">
        <v>489</v>
      </c>
      <c r="E77" t="s">
        <v>28</v>
      </c>
      <c r="F77" t="s">
        <v>29</v>
      </c>
      <c r="G77" t="s">
        <v>30</v>
      </c>
      <c r="H77" t="s">
        <v>28</v>
      </c>
      <c r="I77" t="s">
        <v>459</v>
      </c>
      <c r="J77" t="s">
        <v>203</v>
      </c>
      <c r="K77" t="s">
        <v>303</v>
      </c>
      <c r="L77" t="s">
        <v>28</v>
      </c>
      <c r="M77" t="s">
        <v>28</v>
      </c>
      <c r="N77" t="s">
        <v>128</v>
      </c>
      <c r="O77" t="s">
        <v>28</v>
      </c>
      <c r="P77" t="s">
        <v>28</v>
      </c>
      <c r="Q77" t="s">
        <v>47</v>
      </c>
      <c r="R77" t="s">
        <v>322</v>
      </c>
      <c r="S77" t="s">
        <v>28</v>
      </c>
    </row>
    <row r="78" spans="1:20" x14ac:dyDescent="0.25">
      <c r="A78" t="s">
        <v>323</v>
      </c>
      <c r="B78" t="s">
        <v>324</v>
      </c>
      <c r="C78" t="str">
        <f>_xlfn.XLOOKUP(D78,Buckets!A:A,Buckets!B:B)</f>
        <v>Programa de Melhorias</v>
      </c>
      <c r="D78" t="s">
        <v>473</v>
      </c>
      <c r="E78" t="s">
        <v>28</v>
      </c>
      <c r="F78" t="s">
        <v>39</v>
      </c>
      <c r="G78" t="s">
        <v>30</v>
      </c>
      <c r="H78" t="s">
        <v>474</v>
      </c>
      <c r="I78" t="s">
        <v>474</v>
      </c>
      <c r="J78" t="s">
        <v>126</v>
      </c>
      <c r="K78" t="s">
        <v>203</v>
      </c>
      <c r="L78" t="s">
        <v>203</v>
      </c>
      <c r="M78" t="s">
        <v>28</v>
      </c>
      <c r="N78" t="s">
        <v>35</v>
      </c>
      <c r="O78" t="s">
        <v>126</v>
      </c>
      <c r="P78" t="s">
        <v>474</v>
      </c>
      <c r="Q78" t="s">
        <v>28</v>
      </c>
      <c r="R78" t="s">
        <v>28</v>
      </c>
      <c r="S78" t="s">
        <v>28</v>
      </c>
      <c r="T78" t="s">
        <v>325</v>
      </c>
    </row>
    <row r="79" spans="1:20" x14ac:dyDescent="0.25">
      <c r="A79" t="s">
        <v>326</v>
      </c>
      <c r="B79" t="s">
        <v>327</v>
      </c>
      <c r="C79" t="str">
        <f>_xlfn.XLOOKUP(D79,Buckets!A:A,Buckets!B:B)</f>
        <v>MOI, MOA, MODS</v>
      </c>
      <c r="D79" t="s">
        <v>467</v>
      </c>
      <c r="E79" t="s">
        <v>28</v>
      </c>
      <c r="F79" t="s">
        <v>29</v>
      </c>
      <c r="G79" t="s">
        <v>30</v>
      </c>
      <c r="H79" t="s">
        <v>28</v>
      </c>
      <c r="I79" t="s">
        <v>469</v>
      </c>
      <c r="J79" t="s">
        <v>328</v>
      </c>
      <c r="K79" t="s">
        <v>28</v>
      </c>
      <c r="L79" t="s">
        <v>28</v>
      </c>
      <c r="M79" t="s">
        <v>28</v>
      </c>
      <c r="N79" t="s">
        <v>35</v>
      </c>
      <c r="O79" t="s">
        <v>28</v>
      </c>
      <c r="P79" t="s">
        <v>28</v>
      </c>
      <c r="Q79" t="s">
        <v>28</v>
      </c>
      <c r="R79" t="s">
        <v>28</v>
      </c>
      <c r="S79" t="s">
        <v>28</v>
      </c>
    </row>
    <row r="80" spans="1:20" x14ac:dyDescent="0.25">
      <c r="A80" t="s">
        <v>329</v>
      </c>
      <c r="B80" t="s">
        <v>330</v>
      </c>
      <c r="C80" t="str">
        <f>_xlfn.XLOOKUP(D80,Buckets!A:A,Buckets!B:B)</f>
        <v>SMED</v>
      </c>
      <c r="D80" t="s">
        <v>470</v>
      </c>
      <c r="E80" t="s">
        <v>28</v>
      </c>
      <c r="F80" t="s">
        <v>39</v>
      </c>
      <c r="G80" t="s">
        <v>30</v>
      </c>
      <c r="H80" t="s">
        <v>483</v>
      </c>
      <c r="I80" t="s">
        <v>483</v>
      </c>
      <c r="J80" t="s">
        <v>331</v>
      </c>
      <c r="K80" t="s">
        <v>331</v>
      </c>
      <c r="L80" t="s">
        <v>28</v>
      </c>
      <c r="M80" t="s">
        <v>28</v>
      </c>
      <c r="N80" t="s">
        <v>35</v>
      </c>
      <c r="O80" t="s">
        <v>331</v>
      </c>
      <c r="P80" t="s">
        <v>483</v>
      </c>
      <c r="Q80" t="s">
        <v>28</v>
      </c>
      <c r="R80" t="s">
        <v>28</v>
      </c>
      <c r="S80" t="s">
        <v>28</v>
      </c>
    </row>
    <row r="81" spans="1:19" x14ac:dyDescent="0.25">
      <c r="A81" t="s">
        <v>332</v>
      </c>
      <c r="B81" t="s">
        <v>333</v>
      </c>
      <c r="C81" t="str">
        <f>_xlfn.XLOOKUP(D81,Buckets!A:A,Buckets!B:B)</f>
        <v>SMED</v>
      </c>
      <c r="D81" t="s">
        <v>470</v>
      </c>
      <c r="E81" t="s">
        <v>28</v>
      </c>
      <c r="F81" t="s">
        <v>123</v>
      </c>
      <c r="G81" t="s">
        <v>124</v>
      </c>
      <c r="H81" t="s">
        <v>490</v>
      </c>
      <c r="I81" t="s">
        <v>488</v>
      </c>
      <c r="J81" t="s">
        <v>335</v>
      </c>
      <c r="K81" t="s">
        <v>336</v>
      </c>
      <c r="L81" t="s">
        <v>223</v>
      </c>
      <c r="M81" t="s">
        <v>28</v>
      </c>
      <c r="N81" t="s">
        <v>35</v>
      </c>
      <c r="O81" t="s">
        <v>28</v>
      </c>
      <c r="P81" t="s">
        <v>28</v>
      </c>
      <c r="Q81" t="s">
        <v>337</v>
      </c>
      <c r="R81" t="s">
        <v>338</v>
      </c>
      <c r="S81" t="s">
        <v>28</v>
      </c>
    </row>
    <row r="82" spans="1:19" x14ac:dyDescent="0.25">
      <c r="A82" t="s">
        <v>339</v>
      </c>
      <c r="B82" t="s">
        <v>340</v>
      </c>
      <c r="C82" t="str">
        <f>_xlfn.XLOOKUP(D82,Buckets!A:A,Buckets!B:B)</f>
        <v>MTM/Impressão 3D</v>
      </c>
      <c r="D82" t="s">
        <v>479</v>
      </c>
      <c r="E82" t="s">
        <v>28</v>
      </c>
      <c r="F82" t="s">
        <v>39</v>
      </c>
      <c r="G82" t="s">
        <v>30</v>
      </c>
      <c r="H82" t="s">
        <v>480</v>
      </c>
      <c r="I82" t="s">
        <v>480</v>
      </c>
      <c r="J82" t="s">
        <v>194</v>
      </c>
      <c r="K82" t="s">
        <v>187</v>
      </c>
      <c r="L82" t="s">
        <v>277</v>
      </c>
      <c r="M82" t="s">
        <v>28</v>
      </c>
      <c r="N82" t="s">
        <v>35</v>
      </c>
      <c r="O82" t="s">
        <v>187</v>
      </c>
      <c r="P82" t="s">
        <v>459</v>
      </c>
      <c r="Q82" t="s">
        <v>28</v>
      </c>
      <c r="R82" t="s">
        <v>28</v>
      </c>
      <c r="S82" t="s">
        <v>28</v>
      </c>
    </row>
    <row r="83" spans="1:19" x14ac:dyDescent="0.25">
      <c r="A83" t="s">
        <v>341</v>
      </c>
      <c r="B83" t="s">
        <v>342</v>
      </c>
      <c r="C83" t="str">
        <f>_xlfn.XLOOKUP(D83,Buckets!A:A,Buckets!B:B)</f>
        <v>MTM/Impressão 3D</v>
      </c>
      <c r="D83" t="s">
        <v>479</v>
      </c>
      <c r="E83" t="s">
        <v>28</v>
      </c>
      <c r="F83" t="s">
        <v>39</v>
      </c>
      <c r="G83" t="s">
        <v>30</v>
      </c>
      <c r="H83" t="s">
        <v>480</v>
      </c>
      <c r="I83" t="s">
        <v>480</v>
      </c>
      <c r="J83" t="s">
        <v>194</v>
      </c>
      <c r="K83" t="s">
        <v>187</v>
      </c>
      <c r="L83" t="s">
        <v>277</v>
      </c>
      <c r="M83" t="s">
        <v>28</v>
      </c>
      <c r="N83" t="s">
        <v>35</v>
      </c>
      <c r="O83" t="s">
        <v>187</v>
      </c>
      <c r="P83" t="s">
        <v>459</v>
      </c>
      <c r="Q83" t="s">
        <v>28</v>
      </c>
      <c r="R83" t="s">
        <v>28</v>
      </c>
      <c r="S83" t="s">
        <v>28</v>
      </c>
    </row>
    <row r="84" spans="1:19" x14ac:dyDescent="0.25">
      <c r="A84" t="s">
        <v>343</v>
      </c>
      <c r="B84" t="s">
        <v>344</v>
      </c>
      <c r="C84" t="str">
        <f>_xlfn.XLOOKUP(D84,Buckets!A:A,Buckets!B:B)</f>
        <v>MTM/Impressão 3D</v>
      </c>
      <c r="D84" t="s">
        <v>479</v>
      </c>
      <c r="E84" t="s">
        <v>28</v>
      </c>
      <c r="F84" t="s">
        <v>39</v>
      </c>
      <c r="G84" t="s">
        <v>30</v>
      </c>
      <c r="H84" t="s">
        <v>480</v>
      </c>
      <c r="I84" t="s">
        <v>480</v>
      </c>
      <c r="J84" t="s">
        <v>194</v>
      </c>
      <c r="K84" t="s">
        <v>187</v>
      </c>
      <c r="L84" t="s">
        <v>277</v>
      </c>
      <c r="M84" t="s">
        <v>28</v>
      </c>
      <c r="N84" t="s">
        <v>35</v>
      </c>
      <c r="O84" t="s">
        <v>187</v>
      </c>
      <c r="P84" t="s">
        <v>459</v>
      </c>
      <c r="Q84" t="s">
        <v>28</v>
      </c>
      <c r="R84" t="s">
        <v>28</v>
      </c>
      <c r="S84" t="s">
        <v>28</v>
      </c>
    </row>
    <row r="85" spans="1:19" x14ac:dyDescent="0.25">
      <c r="A85" t="s">
        <v>345</v>
      </c>
      <c r="B85" t="s">
        <v>346</v>
      </c>
      <c r="C85" t="str">
        <f>_xlfn.XLOOKUP(D85,Buckets!A:A,Buckets!B:B)</f>
        <v>Programa de Melhorias</v>
      </c>
      <c r="D85" t="s">
        <v>473</v>
      </c>
      <c r="E85" t="s">
        <v>28</v>
      </c>
      <c r="F85" t="s">
        <v>39</v>
      </c>
      <c r="G85" t="s">
        <v>124</v>
      </c>
      <c r="H85" t="s">
        <v>28</v>
      </c>
      <c r="I85" t="s">
        <v>474</v>
      </c>
      <c r="J85" t="s">
        <v>194</v>
      </c>
      <c r="K85" t="s">
        <v>187</v>
      </c>
      <c r="L85" t="s">
        <v>138</v>
      </c>
      <c r="M85" t="s">
        <v>28</v>
      </c>
      <c r="N85" t="s">
        <v>35</v>
      </c>
      <c r="O85" t="s">
        <v>194</v>
      </c>
      <c r="P85" t="s">
        <v>474</v>
      </c>
      <c r="Q85" t="s">
        <v>28</v>
      </c>
      <c r="R85" t="s">
        <v>28</v>
      </c>
      <c r="S85" t="s">
        <v>28</v>
      </c>
    </row>
    <row r="86" spans="1:19" x14ac:dyDescent="0.25">
      <c r="A86" t="s">
        <v>347</v>
      </c>
      <c r="B86" t="s">
        <v>348</v>
      </c>
      <c r="C86" t="str">
        <f>_xlfn.XLOOKUP(D86,Buckets!A:A,Buckets!B:B)</f>
        <v>MTM/Impressão 3D</v>
      </c>
      <c r="D86" t="s">
        <v>479</v>
      </c>
      <c r="E86" t="s">
        <v>28</v>
      </c>
      <c r="F86" t="s">
        <v>39</v>
      </c>
      <c r="G86" t="s">
        <v>30</v>
      </c>
      <c r="H86" t="s">
        <v>480</v>
      </c>
      <c r="I86" t="s">
        <v>480</v>
      </c>
      <c r="J86" t="s">
        <v>194</v>
      </c>
      <c r="K86" t="s">
        <v>187</v>
      </c>
      <c r="L86" t="s">
        <v>277</v>
      </c>
      <c r="M86" t="s">
        <v>28</v>
      </c>
      <c r="N86" t="s">
        <v>35</v>
      </c>
      <c r="O86" t="s">
        <v>187</v>
      </c>
      <c r="P86" t="s">
        <v>459</v>
      </c>
      <c r="Q86" t="s">
        <v>28</v>
      </c>
      <c r="R86" t="s">
        <v>28</v>
      </c>
      <c r="S86" t="s">
        <v>28</v>
      </c>
    </row>
    <row r="87" spans="1:19" x14ac:dyDescent="0.25">
      <c r="A87" t="s">
        <v>349</v>
      </c>
      <c r="B87" t="s">
        <v>350</v>
      </c>
      <c r="C87" t="str">
        <f>_xlfn.XLOOKUP(D87,Buckets!A:A,Buckets!B:B)</f>
        <v>MTM/Impressão 3D</v>
      </c>
      <c r="D87" t="s">
        <v>479</v>
      </c>
      <c r="E87" t="s">
        <v>28</v>
      </c>
      <c r="F87" t="s">
        <v>39</v>
      </c>
      <c r="G87" t="s">
        <v>30</v>
      </c>
      <c r="H87" t="s">
        <v>480</v>
      </c>
      <c r="I87" t="s">
        <v>480</v>
      </c>
      <c r="J87" t="s">
        <v>194</v>
      </c>
      <c r="K87" t="s">
        <v>187</v>
      </c>
      <c r="L87" t="s">
        <v>277</v>
      </c>
      <c r="M87" t="s">
        <v>28</v>
      </c>
      <c r="N87" t="s">
        <v>35</v>
      </c>
      <c r="O87" t="s">
        <v>187</v>
      </c>
      <c r="P87" t="s">
        <v>459</v>
      </c>
      <c r="Q87" t="s">
        <v>28</v>
      </c>
      <c r="R87" t="s">
        <v>28</v>
      </c>
      <c r="S87" t="s">
        <v>28</v>
      </c>
    </row>
    <row r="88" spans="1:19" x14ac:dyDescent="0.25">
      <c r="A88" t="s">
        <v>351</v>
      </c>
      <c r="B88" t="s">
        <v>352</v>
      </c>
      <c r="C88" t="str">
        <f>_xlfn.XLOOKUP(D88,Buckets!A:A,Buckets!B:B)</f>
        <v>MTM/Impressão 3D</v>
      </c>
      <c r="D88" t="s">
        <v>479</v>
      </c>
      <c r="E88" t="s">
        <v>28</v>
      </c>
      <c r="F88" t="s">
        <v>39</v>
      </c>
      <c r="G88" t="s">
        <v>30</v>
      </c>
      <c r="H88" t="s">
        <v>480</v>
      </c>
      <c r="I88" t="s">
        <v>480</v>
      </c>
      <c r="J88" t="s">
        <v>194</v>
      </c>
      <c r="K88" t="s">
        <v>187</v>
      </c>
      <c r="L88" t="s">
        <v>277</v>
      </c>
      <c r="M88" t="s">
        <v>28</v>
      </c>
      <c r="N88" t="s">
        <v>35</v>
      </c>
      <c r="O88" t="s">
        <v>187</v>
      </c>
      <c r="P88" t="s">
        <v>459</v>
      </c>
      <c r="Q88" t="s">
        <v>28</v>
      </c>
      <c r="R88" t="s">
        <v>28</v>
      </c>
      <c r="S88" t="s">
        <v>28</v>
      </c>
    </row>
    <row r="89" spans="1:19" x14ac:dyDescent="0.25">
      <c r="A89" t="s">
        <v>353</v>
      </c>
      <c r="B89" t="s">
        <v>354</v>
      </c>
      <c r="C89" t="str">
        <f>_xlfn.XLOOKUP(D89,Buckets!A:A,Buckets!B:B)</f>
        <v>MTM/Impressão 3D</v>
      </c>
      <c r="D89" t="s">
        <v>479</v>
      </c>
      <c r="E89" t="s">
        <v>28</v>
      </c>
      <c r="F89" t="s">
        <v>39</v>
      </c>
      <c r="G89" t="s">
        <v>30</v>
      </c>
      <c r="H89" t="s">
        <v>480</v>
      </c>
      <c r="I89" t="s">
        <v>480</v>
      </c>
      <c r="J89" t="s">
        <v>194</v>
      </c>
      <c r="K89" t="s">
        <v>187</v>
      </c>
      <c r="L89" t="s">
        <v>277</v>
      </c>
      <c r="M89" t="s">
        <v>28</v>
      </c>
      <c r="N89" t="s">
        <v>35</v>
      </c>
      <c r="O89" t="s">
        <v>187</v>
      </c>
      <c r="P89" t="s">
        <v>459</v>
      </c>
      <c r="Q89" t="s">
        <v>28</v>
      </c>
      <c r="R89" t="s">
        <v>28</v>
      </c>
      <c r="S89" t="s">
        <v>28</v>
      </c>
    </row>
    <row r="90" spans="1:19" x14ac:dyDescent="0.25">
      <c r="A90" t="s">
        <v>355</v>
      </c>
      <c r="B90" t="s">
        <v>356</v>
      </c>
      <c r="C90" t="str">
        <f>_xlfn.XLOOKUP(D90,Buckets!A:A,Buckets!B:B)</f>
        <v>MTM/Impressão 3D</v>
      </c>
      <c r="D90" t="s">
        <v>479</v>
      </c>
      <c r="E90" t="s">
        <v>28</v>
      </c>
      <c r="F90" t="s">
        <v>39</v>
      </c>
      <c r="G90" t="s">
        <v>30</v>
      </c>
      <c r="H90" t="s">
        <v>480</v>
      </c>
      <c r="I90" t="s">
        <v>480</v>
      </c>
      <c r="J90" t="s">
        <v>194</v>
      </c>
      <c r="K90" t="s">
        <v>187</v>
      </c>
      <c r="L90" t="s">
        <v>277</v>
      </c>
      <c r="M90" t="s">
        <v>28</v>
      </c>
      <c r="N90" t="s">
        <v>35</v>
      </c>
      <c r="O90" t="s">
        <v>187</v>
      </c>
      <c r="P90" t="s">
        <v>459</v>
      </c>
      <c r="Q90" t="s">
        <v>28</v>
      </c>
      <c r="R90" t="s">
        <v>28</v>
      </c>
      <c r="S90" t="s">
        <v>28</v>
      </c>
    </row>
    <row r="91" spans="1:19" x14ac:dyDescent="0.25">
      <c r="A91" t="s">
        <v>357</v>
      </c>
      <c r="B91" t="s">
        <v>358</v>
      </c>
      <c r="C91" t="str">
        <f>_xlfn.XLOOKUP(D91,Buckets!A:A,Buckets!B:B)</f>
        <v>Programa de Melhorias</v>
      </c>
      <c r="D91" t="s">
        <v>473</v>
      </c>
      <c r="E91" t="s">
        <v>28</v>
      </c>
      <c r="F91" t="s">
        <v>39</v>
      </c>
      <c r="G91" t="s">
        <v>30</v>
      </c>
      <c r="H91" t="s">
        <v>474</v>
      </c>
      <c r="I91" t="s">
        <v>474</v>
      </c>
      <c r="J91" t="s">
        <v>194</v>
      </c>
      <c r="K91" t="s">
        <v>298</v>
      </c>
      <c r="L91" t="s">
        <v>212</v>
      </c>
      <c r="M91" t="s">
        <v>28</v>
      </c>
      <c r="N91" t="s">
        <v>35</v>
      </c>
      <c r="O91" t="s">
        <v>216</v>
      </c>
      <c r="P91" t="s">
        <v>474</v>
      </c>
      <c r="Q91" t="s">
        <v>359</v>
      </c>
      <c r="R91" t="s">
        <v>360</v>
      </c>
      <c r="S91" t="s">
        <v>28</v>
      </c>
    </row>
    <row r="92" spans="1:19" x14ac:dyDescent="0.25">
      <c r="A92" t="s">
        <v>361</v>
      </c>
      <c r="B92" t="s">
        <v>362</v>
      </c>
      <c r="C92" t="str">
        <f>_xlfn.XLOOKUP(D92,Buckets!A:A,Buckets!B:B)</f>
        <v>MTM/Impressão 3D</v>
      </c>
      <c r="D92" t="s">
        <v>479</v>
      </c>
      <c r="E92" t="s">
        <v>28</v>
      </c>
      <c r="F92" t="s">
        <v>39</v>
      </c>
      <c r="G92" t="s">
        <v>30</v>
      </c>
      <c r="H92" t="s">
        <v>480</v>
      </c>
      <c r="I92" t="s">
        <v>480</v>
      </c>
      <c r="J92" t="s">
        <v>194</v>
      </c>
      <c r="K92" t="s">
        <v>187</v>
      </c>
      <c r="L92" t="s">
        <v>277</v>
      </c>
      <c r="M92" t="s">
        <v>28</v>
      </c>
      <c r="N92" t="s">
        <v>35</v>
      </c>
      <c r="O92" t="s">
        <v>187</v>
      </c>
      <c r="P92" t="s">
        <v>459</v>
      </c>
      <c r="Q92" t="s">
        <v>28</v>
      </c>
      <c r="R92" t="s">
        <v>28</v>
      </c>
      <c r="S92" t="s">
        <v>28</v>
      </c>
    </row>
    <row r="93" spans="1:19" x14ac:dyDescent="0.25">
      <c r="A93" t="s">
        <v>363</v>
      </c>
      <c r="B93" t="s">
        <v>364</v>
      </c>
      <c r="C93" t="str">
        <f>_xlfn.XLOOKUP(D93,Buckets!A:A,Buckets!B:B)</f>
        <v>MTM/Impressão 3D</v>
      </c>
      <c r="D93" t="s">
        <v>479</v>
      </c>
      <c r="E93" t="s">
        <v>28</v>
      </c>
      <c r="F93" t="s">
        <v>39</v>
      </c>
      <c r="G93" t="s">
        <v>30</v>
      </c>
      <c r="H93" t="s">
        <v>480</v>
      </c>
      <c r="I93" t="s">
        <v>480</v>
      </c>
      <c r="J93" t="s">
        <v>194</v>
      </c>
      <c r="K93" t="s">
        <v>187</v>
      </c>
      <c r="L93" t="s">
        <v>277</v>
      </c>
      <c r="M93" t="s">
        <v>28</v>
      </c>
      <c r="N93" t="s">
        <v>35</v>
      </c>
      <c r="O93" t="s">
        <v>187</v>
      </c>
      <c r="P93" t="s">
        <v>459</v>
      </c>
      <c r="Q93" t="s">
        <v>28</v>
      </c>
      <c r="R93" t="s">
        <v>28</v>
      </c>
      <c r="S93" t="s">
        <v>28</v>
      </c>
    </row>
    <row r="94" spans="1:19" x14ac:dyDescent="0.25">
      <c r="A94" t="s">
        <v>365</v>
      </c>
      <c r="B94" t="s">
        <v>366</v>
      </c>
      <c r="C94" t="str">
        <f>_xlfn.XLOOKUP(D94,Buckets!A:A,Buckets!B:B)</f>
        <v>Pendências Fechamento de Indicadores</v>
      </c>
      <c r="D94" t="s">
        <v>489</v>
      </c>
      <c r="E94" t="s">
        <v>28</v>
      </c>
      <c r="F94" t="s">
        <v>39</v>
      </c>
      <c r="G94" t="s">
        <v>30</v>
      </c>
      <c r="H94" t="s">
        <v>480</v>
      </c>
      <c r="I94" t="s">
        <v>480</v>
      </c>
      <c r="J94" t="s">
        <v>187</v>
      </c>
      <c r="K94" t="s">
        <v>303</v>
      </c>
      <c r="L94" t="s">
        <v>285</v>
      </c>
      <c r="M94" t="s">
        <v>28</v>
      </c>
      <c r="N94" t="s">
        <v>35</v>
      </c>
      <c r="O94" t="s">
        <v>216</v>
      </c>
      <c r="P94" t="s">
        <v>459</v>
      </c>
      <c r="Q94" t="s">
        <v>367</v>
      </c>
      <c r="R94" t="s">
        <v>368</v>
      </c>
      <c r="S94" t="s">
        <v>28</v>
      </c>
    </row>
    <row r="95" spans="1:19" x14ac:dyDescent="0.25">
      <c r="A95" t="s">
        <v>369</v>
      </c>
      <c r="B95" t="s">
        <v>370</v>
      </c>
      <c r="C95" t="str">
        <f>_xlfn.XLOOKUP(D95,Buckets!A:A,Buckets!B:B)</f>
        <v>MTM/Impressão 3D</v>
      </c>
      <c r="D95" t="s">
        <v>479</v>
      </c>
      <c r="E95" t="s">
        <v>28</v>
      </c>
      <c r="F95" t="s">
        <v>39</v>
      </c>
      <c r="G95" t="s">
        <v>30</v>
      </c>
      <c r="H95" t="s">
        <v>480</v>
      </c>
      <c r="I95" t="s">
        <v>480</v>
      </c>
      <c r="J95" t="s">
        <v>187</v>
      </c>
      <c r="K95" t="s">
        <v>187</v>
      </c>
      <c r="L95" t="s">
        <v>277</v>
      </c>
      <c r="M95" t="s">
        <v>28</v>
      </c>
      <c r="N95" t="s">
        <v>35</v>
      </c>
      <c r="O95" t="s">
        <v>187</v>
      </c>
      <c r="P95" t="s">
        <v>459</v>
      </c>
      <c r="Q95" t="s">
        <v>28</v>
      </c>
      <c r="R95" t="s">
        <v>28</v>
      </c>
      <c r="S95" t="s">
        <v>28</v>
      </c>
    </row>
    <row r="96" spans="1:19" x14ac:dyDescent="0.25">
      <c r="A96" t="s">
        <v>371</v>
      </c>
      <c r="B96" t="s">
        <v>372</v>
      </c>
      <c r="C96" t="str">
        <f>_xlfn.XLOOKUP(D96,Buckets!A:A,Buckets!B:B)</f>
        <v>MTM/Impressão 3D</v>
      </c>
      <c r="D96" t="s">
        <v>479</v>
      </c>
      <c r="E96" t="s">
        <v>28</v>
      </c>
      <c r="F96" t="s">
        <v>39</v>
      </c>
      <c r="G96" t="s">
        <v>30</v>
      </c>
      <c r="H96" t="s">
        <v>480</v>
      </c>
      <c r="I96" t="s">
        <v>480</v>
      </c>
      <c r="J96" t="s">
        <v>187</v>
      </c>
      <c r="K96" t="s">
        <v>187</v>
      </c>
      <c r="L96" t="s">
        <v>277</v>
      </c>
      <c r="M96" t="s">
        <v>28</v>
      </c>
      <c r="N96" t="s">
        <v>35</v>
      </c>
      <c r="O96" t="s">
        <v>187</v>
      </c>
      <c r="P96" t="s">
        <v>459</v>
      </c>
      <c r="Q96" t="s">
        <v>28</v>
      </c>
      <c r="R96" t="s">
        <v>28</v>
      </c>
      <c r="S96" t="s">
        <v>28</v>
      </c>
    </row>
    <row r="97" spans="1:19" x14ac:dyDescent="0.25">
      <c r="A97" t="s">
        <v>373</v>
      </c>
      <c r="B97" t="s">
        <v>374</v>
      </c>
      <c r="C97" t="str">
        <f>_xlfn.XLOOKUP(D97,Buckets!A:A,Buckets!B:B)</f>
        <v>SMED</v>
      </c>
      <c r="D97" t="s">
        <v>470</v>
      </c>
      <c r="E97" t="s">
        <v>28</v>
      </c>
      <c r="F97" t="s">
        <v>39</v>
      </c>
      <c r="G97" t="s">
        <v>30</v>
      </c>
      <c r="H97" t="s">
        <v>483</v>
      </c>
      <c r="I97" t="s">
        <v>483</v>
      </c>
      <c r="J97" t="s">
        <v>187</v>
      </c>
      <c r="K97" t="s">
        <v>187</v>
      </c>
      <c r="L97" t="s">
        <v>277</v>
      </c>
      <c r="M97" t="s">
        <v>28</v>
      </c>
      <c r="N97" t="s">
        <v>35</v>
      </c>
      <c r="O97" t="s">
        <v>187</v>
      </c>
      <c r="P97" t="s">
        <v>483</v>
      </c>
      <c r="Q97" t="s">
        <v>28</v>
      </c>
      <c r="R97" t="s">
        <v>28</v>
      </c>
      <c r="S97" t="s">
        <v>28</v>
      </c>
    </row>
    <row r="98" spans="1:19" x14ac:dyDescent="0.25">
      <c r="A98" t="s">
        <v>375</v>
      </c>
      <c r="B98" t="s">
        <v>376</v>
      </c>
      <c r="C98" t="str">
        <f>_xlfn.XLOOKUP(D98,Buckets!A:A,Buckets!B:B)</f>
        <v>SMED</v>
      </c>
      <c r="D98" t="s">
        <v>470</v>
      </c>
      <c r="E98" t="s">
        <v>28</v>
      </c>
      <c r="F98" t="s">
        <v>123</v>
      </c>
      <c r="G98" t="s">
        <v>30</v>
      </c>
      <c r="H98" t="s">
        <v>483</v>
      </c>
      <c r="I98" t="s">
        <v>483</v>
      </c>
      <c r="J98" t="s">
        <v>187</v>
      </c>
      <c r="K98" t="s">
        <v>218</v>
      </c>
      <c r="L98" t="s">
        <v>138</v>
      </c>
      <c r="M98" t="s">
        <v>28</v>
      </c>
      <c r="N98" t="s">
        <v>128</v>
      </c>
      <c r="O98" t="s">
        <v>28</v>
      </c>
      <c r="P98" t="s">
        <v>28</v>
      </c>
      <c r="Q98" t="s">
        <v>377</v>
      </c>
      <c r="R98" t="s">
        <v>378</v>
      </c>
      <c r="S98" t="s">
        <v>28</v>
      </c>
    </row>
    <row r="99" spans="1:19" x14ac:dyDescent="0.25">
      <c r="A99" t="s">
        <v>379</v>
      </c>
      <c r="B99" t="s">
        <v>380</v>
      </c>
      <c r="C99" t="str">
        <f>_xlfn.XLOOKUP(D99,Buckets!A:A,Buckets!B:B)</f>
        <v>MOI, MOA, MODS</v>
      </c>
      <c r="D99" t="s">
        <v>467</v>
      </c>
      <c r="E99" t="s">
        <v>28</v>
      </c>
      <c r="F99" t="s">
        <v>29</v>
      </c>
      <c r="G99" t="s">
        <v>124</v>
      </c>
      <c r="H99" t="s">
        <v>469</v>
      </c>
      <c r="I99" t="s">
        <v>469</v>
      </c>
      <c r="J99" t="s">
        <v>187</v>
      </c>
      <c r="K99" t="s">
        <v>230</v>
      </c>
      <c r="L99" t="s">
        <v>285</v>
      </c>
      <c r="M99" t="s">
        <v>28</v>
      </c>
      <c r="N99" t="s">
        <v>35</v>
      </c>
      <c r="O99" t="s">
        <v>28</v>
      </c>
      <c r="P99" t="s">
        <v>28</v>
      </c>
      <c r="Q99" t="s">
        <v>381</v>
      </c>
      <c r="R99" t="s">
        <v>382</v>
      </c>
      <c r="S99" t="s">
        <v>131</v>
      </c>
    </row>
    <row r="100" spans="1:19" x14ac:dyDescent="0.25">
      <c r="A100" t="s">
        <v>383</v>
      </c>
      <c r="B100" t="s">
        <v>384</v>
      </c>
      <c r="C100" t="str">
        <f>_xlfn.XLOOKUP(D100,Buckets!A:A,Buckets!B:B)</f>
        <v>SMED</v>
      </c>
      <c r="D100" t="s">
        <v>470</v>
      </c>
      <c r="E100" t="s">
        <v>28</v>
      </c>
      <c r="F100" t="s">
        <v>29</v>
      </c>
      <c r="G100" t="s">
        <v>30</v>
      </c>
      <c r="H100" t="s">
        <v>491</v>
      </c>
      <c r="I100" t="s">
        <v>491</v>
      </c>
      <c r="J100" t="s">
        <v>187</v>
      </c>
      <c r="K100" t="s">
        <v>303</v>
      </c>
      <c r="L100" t="s">
        <v>285</v>
      </c>
      <c r="M100" t="s">
        <v>28</v>
      </c>
      <c r="N100" t="s">
        <v>128</v>
      </c>
      <c r="O100" t="s">
        <v>28</v>
      </c>
      <c r="P100" t="s">
        <v>28</v>
      </c>
      <c r="Q100" t="s">
        <v>208</v>
      </c>
      <c r="R100" t="s">
        <v>386</v>
      </c>
      <c r="S100" t="s">
        <v>387</v>
      </c>
    </row>
    <row r="101" spans="1:19" x14ac:dyDescent="0.25">
      <c r="A101" t="s">
        <v>388</v>
      </c>
      <c r="B101" t="s">
        <v>389</v>
      </c>
      <c r="C101" t="str">
        <f>_xlfn.XLOOKUP(D101,Buckets!A:A,Buckets!B:B)</f>
        <v>SMED</v>
      </c>
      <c r="D101" t="s">
        <v>470</v>
      </c>
      <c r="E101" t="s">
        <v>28</v>
      </c>
      <c r="F101" t="s">
        <v>29</v>
      </c>
      <c r="G101" t="s">
        <v>30</v>
      </c>
      <c r="H101" t="s">
        <v>483</v>
      </c>
      <c r="I101" t="s">
        <v>483</v>
      </c>
      <c r="J101" t="s">
        <v>187</v>
      </c>
      <c r="K101" t="s">
        <v>218</v>
      </c>
      <c r="L101" t="s">
        <v>28</v>
      </c>
      <c r="M101" t="s">
        <v>28</v>
      </c>
      <c r="N101" t="s">
        <v>128</v>
      </c>
      <c r="O101" t="s">
        <v>28</v>
      </c>
      <c r="P101" t="s">
        <v>28</v>
      </c>
      <c r="Q101" t="s">
        <v>268</v>
      </c>
      <c r="R101" t="s">
        <v>390</v>
      </c>
      <c r="S101" t="s">
        <v>28</v>
      </c>
    </row>
    <row r="102" spans="1:19" x14ac:dyDescent="0.25">
      <c r="A102" t="s">
        <v>391</v>
      </c>
      <c r="B102" t="s">
        <v>392</v>
      </c>
      <c r="C102" t="str">
        <f>_xlfn.XLOOKUP(D102,Buckets!A:A,Buckets!B:B)</f>
        <v>MOI, MOA, MODS</v>
      </c>
      <c r="D102" t="s">
        <v>467</v>
      </c>
      <c r="E102" t="s">
        <v>28</v>
      </c>
      <c r="F102" t="s">
        <v>39</v>
      </c>
      <c r="G102" t="s">
        <v>30</v>
      </c>
      <c r="H102" t="s">
        <v>491</v>
      </c>
      <c r="I102" t="s">
        <v>491</v>
      </c>
      <c r="J102" t="s">
        <v>187</v>
      </c>
      <c r="K102" t="s">
        <v>303</v>
      </c>
      <c r="L102" t="s">
        <v>285</v>
      </c>
      <c r="M102" t="s">
        <v>28</v>
      </c>
      <c r="N102" t="s">
        <v>35</v>
      </c>
      <c r="O102" t="s">
        <v>216</v>
      </c>
      <c r="P102" t="s">
        <v>459</v>
      </c>
      <c r="Q102" t="s">
        <v>393</v>
      </c>
      <c r="R102" t="s">
        <v>394</v>
      </c>
      <c r="S102" t="s">
        <v>387</v>
      </c>
    </row>
    <row r="103" spans="1:19" x14ac:dyDescent="0.25">
      <c r="A103" t="s">
        <v>395</v>
      </c>
      <c r="B103" t="s">
        <v>396</v>
      </c>
      <c r="C103" t="str">
        <f>_xlfn.XLOOKUP(D103,Buckets!A:A,Buckets!B:B)</f>
        <v>Padronizações/Certificações</v>
      </c>
      <c r="D103" t="s">
        <v>477</v>
      </c>
      <c r="E103" t="s">
        <v>28</v>
      </c>
      <c r="F103" t="s">
        <v>29</v>
      </c>
      <c r="G103" t="s">
        <v>30</v>
      </c>
      <c r="H103" t="s">
        <v>480</v>
      </c>
      <c r="I103" t="s">
        <v>480</v>
      </c>
      <c r="J103" t="s">
        <v>187</v>
      </c>
      <c r="K103" t="s">
        <v>303</v>
      </c>
      <c r="L103" t="s">
        <v>285</v>
      </c>
      <c r="M103" t="s">
        <v>28</v>
      </c>
      <c r="N103" t="s">
        <v>128</v>
      </c>
      <c r="O103" t="s">
        <v>28</v>
      </c>
      <c r="P103" t="s">
        <v>28</v>
      </c>
      <c r="Q103" t="s">
        <v>28</v>
      </c>
      <c r="R103" t="s">
        <v>28</v>
      </c>
      <c r="S103" t="s">
        <v>28</v>
      </c>
    </row>
    <row r="104" spans="1:19" x14ac:dyDescent="0.25">
      <c r="A104" t="s">
        <v>397</v>
      </c>
      <c r="B104" t="s">
        <v>398</v>
      </c>
      <c r="C104" t="str">
        <f>_xlfn.XLOOKUP(D104,Buckets!A:A,Buckets!B:B)</f>
        <v>Padronizações/Certificações</v>
      </c>
      <c r="D104" t="s">
        <v>477</v>
      </c>
      <c r="E104" t="s">
        <v>28</v>
      </c>
      <c r="F104" t="s">
        <v>29</v>
      </c>
      <c r="G104" t="s">
        <v>30</v>
      </c>
      <c r="H104" t="s">
        <v>480</v>
      </c>
      <c r="I104" t="s">
        <v>480</v>
      </c>
      <c r="J104" t="s">
        <v>187</v>
      </c>
      <c r="K104" t="s">
        <v>303</v>
      </c>
      <c r="L104" t="s">
        <v>285</v>
      </c>
      <c r="M104" t="s">
        <v>28</v>
      </c>
      <c r="N104" t="s">
        <v>128</v>
      </c>
      <c r="O104" t="s">
        <v>28</v>
      </c>
      <c r="P104" t="s">
        <v>28</v>
      </c>
      <c r="Q104" t="s">
        <v>28</v>
      </c>
      <c r="R104" t="s">
        <v>28</v>
      </c>
      <c r="S104" t="s">
        <v>28</v>
      </c>
    </row>
    <row r="105" spans="1:19" x14ac:dyDescent="0.25">
      <c r="A105" t="s">
        <v>399</v>
      </c>
      <c r="B105" t="s">
        <v>400</v>
      </c>
      <c r="C105" t="str">
        <f>_xlfn.XLOOKUP(D105,Buckets!A:A,Buckets!B:B)</f>
        <v>SMED</v>
      </c>
      <c r="D105" t="s">
        <v>470</v>
      </c>
      <c r="E105" t="s">
        <v>28</v>
      </c>
      <c r="F105" t="s">
        <v>29</v>
      </c>
      <c r="G105" t="s">
        <v>30</v>
      </c>
      <c r="H105" t="s">
        <v>492</v>
      </c>
      <c r="I105" t="s">
        <v>492</v>
      </c>
      <c r="J105" t="s">
        <v>187</v>
      </c>
      <c r="K105" t="s">
        <v>137</v>
      </c>
      <c r="L105" t="s">
        <v>402</v>
      </c>
      <c r="M105" t="s">
        <v>28</v>
      </c>
      <c r="N105" t="s">
        <v>35</v>
      </c>
      <c r="O105" t="s">
        <v>28</v>
      </c>
      <c r="P105" t="s">
        <v>28</v>
      </c>
      <c r="Q105" t="s">
        <v>403</v>
      </c>
      <c r="R105" t="s">
        <v>404</v>
      </c>
      <c r="S105" t="s">
        <v>28</v>
      </c>
    </row>
    <row r="106" spans="1:19" x14ac:dyDescent="0.25">
      <c r="A106" t="s">
        <v>405</v>
      </c>
      <c r="B106" t="s">
        <v>406</v>
      </c>
      <c r="C106" t="str">
        <f>_xlfn.XLOOKUP(D106,Buckets!A:A,Buckets!B:B)</f>
        <v>MTM/Impressão 3D</v>
      </c>
      <c r="D106" t="s">
        <v>479</v>
      </c>
      <c r="E106" t="s">
        <v>28</v>
      </c>
      <c r="F106" t="s">
        <v>39</v>
      </c>
      <c r="G106" t="s">
        <v>30</v>
      </c>
      <c r="H106" t="s">
        <v>480</v>
      </c>
      <c r="I106" t="s">
        <v>480</v>
      </c>
      <c r="J106" t="s">
        <v>285</v>
      </c>
      <c r="K106" t="s">
        <v>303</v>
      </c>
      <c r="L106" t="s">
        <v>285</v>
      </c>
      <c r="M106" t="s">
        <v>28</v>
      </c>
      <c r="N106" t="s">
        <v>35</v>
      </c>
      <c r="O106" t="s">
        <v>298</v>
      </c>
      <c r="P106" t="s">
        <v>480</v>
      </c>
      <c r="Q106" t="s">
        <v>28</v>
      </c>
      <c r="R106" t="s">
        <v>28</v>
      </c>
      <c r="S106" t="s">
        <v>28</v>
      </c>
    </row>
    <row r="107" spans="1:19" x14ac:dyDescent="0.25">
      <c r="A107" t="s">
        <v>407</v>
      </c>
      <c r="B107" t="s">
        <v>408</v>
      </c>
      <c r="C107" t="str">
        <f>_xlfn.XLOOKUP(D107,Buckets!A:A,Buckets!B:B)</f>
        <v>Pendências Fechamento de Indicadores</v>
      </c>
      <c r="D107" t="s">
        <v>489</v>
      </c>
      <c r="E107" t="s">
        <v>28</v>
      </c>
      <c r="F107" t="s">
        <v>29</v>
      </c>
      <c r="G107" t="s">
        <v>30</v>
      </c>
      <c r="H107" t="s">
        <v>480</v>
      </c>
      <c r="I107" t="s">
        <v>480</v>
      </c>
      <c r="J107" t="s">
        <v>285</v>
      </c>
      <c r="K107" t="s">
        <v>303</v>
      </c>
      <c r="L107" t="s">
        <v>285</v>
      </c>
      <c r="M107" t="s">
        <v>28</v>
      </c>
      <c r="N107" t="s">
        <v>128</v>
      </c>
      <c r="O107" t="s">
        <v>28</v>
      </c>
      <c r="P107" t="s">
        <v>28</v>
      </c>
      <c r="Q107" t="s">
        <v>409</v>
      </c>
      <c r="R107" t="s">
        <v>410</v>
      </c>
      <c r="S107" t="s">
        <v>28</v>
      </c>
    </row>
    <row r="108" spans="1:19" x14ac:dyDescent="0.25">
      <c r="A108" t="s">
        <v>411</v>
      </c>
      <c r="B108" t="s">
        <v>412</v>
      </c>
      <c r="C108" t="str">
        <f>_xlfn.XLOOKUP(D108,Buckets!A:A,Buckets!B:B)</f>
        <v>MTM/Impressão 3D</v>
      </c>
      <c r="D108" t="s">
        <v>479</v>
      </c>
      <c r="E108" t="s">
        <v>28</v>
      </c>
      <c r="F108" t="s">
        <v>39</v>
      </c>
      <c r="G108" t="s">
        <v>30</v>
      </c>
      <c r="H108" t="s">
        <v>480</v>
      </c>
      <c r="I108" t="s">
        <v>480</v>
      </c>
      <c r="J108" t="s">
        <v>285</v>
      </c>
      <c r="K108" t="s">
        <v>216</v>
      </c>
      <c r="L108" t="s">
        <v>298</v>
      </c>
      <c r="M108" t="s">
        <v>28</v>
      </c>
      <c r="N108" t="s">
        <v>35</v>
      </c>
      <c r="O108" t="s">
        <v>216</v>
      </c>
      <c r="P108" t="s">
        <v>459</v>
      </c>
      <c r="Q108" t="s">
        <v>28</v>
      </c>
      <c r="R108" t="s">
        <v>28</v>
      </c>
      <c r="S108" t="s">
        <v>28</v>
      </c>
    </row>
    <row r="109" spans="1:19" x14ac:dyDescent="0.25">
      <c r="A109" t="s">
        <v>413</v>
      </c>
      <c r="B109" t="s">
        <v>414</v>
      </c>
      <c r="C109" t="str">
        <f>_xlfn.XLOOKUP(D109,Buckets!A:A,Buckets!B:B)</f>
        <v>RPA</v>
      </c>
      <c r="D109" t="s">
        <v>481</v>
      </c>
      <c r="E109" t="s">
        <v>28</v>
      </c>
      <c r="F109" t="s">
        <v>39</v>
      </c>
      <c r="G109" t="s">
        <v>30</v>
      </c>
      <c r="H109" t="s">
        <v>478</v>
      </c>
      <c r="I109" t="s">
        <v>478</v>
      </c>
      <c r="J109" t="s">
        <v>402</v>
      </c>
      <c r="K109" t="s">
        <v>303</v>
      </c>
      <c r="L109" t="s">
        <v>28</v>
      </c>
      <c r="M109" t="s">
        <v>28</v>
      </c>
      <c r="N109" t="s">
        <v>35</v>
      </c>
      <c r="O109" t="s">
        <v>216</v>
      </c>
      <c r="P109" t="s">
        <v>474</v>
      </c>
      <c r="Q109" t="s">
        <v>28</v>
      </c>
      <c r="R109" t="s">
        <v>28</v>
      </c>
      <c r="S109" t="s">
        <v>28</v>
      </c>
    </row>
    <row r="110" spans="1:19" x14ac:dyDescent="0.25">
      <c r="A110" t="s">
        <v>415</v>
      </c>
      <c r="B110" t="s">
        <v>416</v>
      </c>
      <c r="C110" t="str">
        <f>_xlfn.XLOOKUP(D110,Buckets!A:A,Buckets!B:B)</f>
        <v>MTM/Impressão 3D</v>
      </c>
      <c r="D110" t="s">
        <v>479</v>
      </c>
      <c r="E110" t="s">
        <v>28</v>
      </c>
      <c r="F110" t="s">
        <v>39</v>
      </c>
      <c r="G110" t="s">
        <v>30</v>
      </c>
      <c r="H110" t="s">
        <v>480</v>
      </c>
      <c r="I110" t="s">
        <v>480</v>
      </c>
      <c r="J110" t="s">
        <v>402</v>
      </c>
      <c r="K110" t="s">
        <v>303</v>
      </c>
      <c r="L110" t="s">
        <v>285</v>
      </c>
      <c r="M110" t="s">
        <v>28</v>
      </c>
      <c r="N110" t="s">
        <v>35</v>
      </c>
      <c r="O110" t="s">
        <v>298</v>
      </c>
      <c r="P110" t="s">
        <v>480</v>
      </c>
      <c r="Q110" t="s">
        <v>28</v>
      </c>
      <c r="R110" t="s">
        <v>28</v>
      </c>
      <c r="S110" t="s">
        <v>28</v>
      </c>
    </row>
    <row r="111" spans="1:19" x14ac:dyDescent="0.25">
      <c r="A111" t="s">
        <v>417</v>
      </c>
      <c r="B111" t="s">
        <v>418</v>
      </c>
      <c r="C111" t="str">
        <f>_xlfn.XLOOKUP(D111,Buckets!A:A,Buckets!B:B)</f>
        <v>SMED</v>
      </c>
      <c r="D111" t="s">
        <v>470</v>
      </c>
      <c r="E111" t="s">
        <v>28</v>
      </c>
      <c r="F111" t="s">
        <v>39</v>
      </c>
      <c r="G111" t="s">
        <v>30</v>
      </c>
      <c r="H111" t="s">
        <v>483</v>
      </c>
      <c r="I111" t="s">
        <v>483</v>
      </c>
      <c r="J111" t="s">
        <v>402</v>
      </c>
      <c r="K111" t="s">
        <v>402</v>
      </c>
      <c r="L111" t="s">
        <v>28</v>
      </c>
      <c r="M111" t="s">
        <v>28</v>
      </c>
      <c r="N111" t="s">
        <v>35</v>
      </c>
      <c r="O111" t="s">
        <v>402</v>
      </c>
      <c r="P111" t="s">
        <v>483</v>
      </c>
      <c r="Q111" t="s">
        <v>94</v>
      </c>
      <c r="R111" t="s">
        <v>419</v>
      </c>
      <c r="S111" t="s">
        <v>28</v>
      </c>
    </row>
    <row r="112" spans="1:19" x14ac:dyDescent="0.25">
      <c r="A112" t="s">
        <v>420</v>
      </c>
      <c r="B112" t="s">
        <v>421</v>
      </c>
      <c r="C112" t="str">
        <f>_xlfn.XLOOKUP(D112,Buckets!A:A,Buckets!B:B)</f>
        <v>SMED</v>
      </c>
      <c r="D112" t="s">
        <v>470</v>
      </c>
      <c r="E112" t="s">
        <v>28</v>
      </c>
      <c r="F112" t="s">
        <v>39</v>
      </c>
      <c r="G112" t="s">
        <v>30</v>
      </c>
      <c r="H112" t="s">
        <v>483</v>
      </c>
      <c r="I112" t="s">
        <v>483</v>
      </c>
      <c r="J112" t="s">
        <v>402</v>
      </c>
      <c r="K112" t="s">
        <v>303</v>
      </c>
      <c r="L112" t="s">
        <v>28</v>
      </c>
      <c r="M112" t="s">
        <v>28</v>
      </c>
      <c r="N112" t="s">
        <v>35</v>
      </c>
      <c r="O112" t="s">
        <v>402</v>
      </c>
      <c r="P112" t="s">
        <v>483</v>
      </c>
      <c r="Q112" t="s">
        <v>94</v>
      </c>
      <c r="R112" t="s">
        <v>422</v>
      </c>
      <c r="S112" t="s">
        <v>28</v>
      </c>
    </row>
    <row r="113" spans="1:19" x14ac:dyDescent="0.25">
      <c r="A113" t="s">
        <v>423</v>
      </c>
      <c r="B113" t="s">
        <v>424</v>
      </c>
      <c r="C113" t="str">
        <f>_xlfn.XLOOKUP(D113,Buckets!A:A,Buckets!B:B)</f>
        <v>Padronizações/Certificações</v>
      </c>
      <c r="D113" t="s">
        <v>477</v>
      </c>
      <c r="E113" t="s">
        <v>28</v>
      </c>
      <c r="F113" t="s">
        <v>123</v>
      </c>
      <c r="G113" t="s">
        <v>30</v>
      </c>
      <c r="H113" t="s">
        <v>493</v>
      </c>
      <c r="I113" t="s">
        <v>484</v>
      </c>
      <c r="J113" t="s">
        <v>42</v>
      </c>
      <c r="K113" t="s">
        <v>137</v>
      </c>
      <c r="L113" t="s">
        <v>194</v>
      </c>
      <c r="M113" t="s">
        <v>28</v>
      </c>
      <c r="N113" t="s">
        <v>35</v>
      </c>
      <c r="O113" t="s">
        <v>28</v>
      </c>
      <c r="P113" t="s">
        <v>28</v>
      </c>
      <c r="Q113" t="s">
        <v>403</v>
      </c>
      <c r="R113" t="s">
        <v>426</v>
      </c>
      <c r="S113" t="s">
        <v>28</v>
      </c>
    </row>
    <row r="114" spans="1:19" x14ac:dyDescent="0.25">
      <c r="A114" t="s">
        <v>427</v>
      </c>
      <c r="B114" t="s">
        <v>428</v>
      </c>
      <c r="C114" t="str">
        <f>_xlfn.XLOOKUP(D114,Buckets!A:A,Buckets!B:B)</f>
        <v>Padronizações/Certificações</v>
      </c>
      <c r="D114" t="s">
        <v>477</v>
      </c>
      <c r="E114" t="s">
        <v>28</v>
      </c>
      <c r="F114" t="s">
        <v>39</v>
      </c>
      <c r="G114" t="s">
        <v>30</v>
      </c>
      <c r="H114" t="s">
        <v>28</v>
      </c>
      <c r="I114" t="s">
        <v>484</v>
      </c>
      <c r="J114" t="s">
        <v>42</v>
      </c>
      <c r="K114" t="s">
        <v>28</v>
      </c>
      <c r="L114" t="s">
        <v>28</v>
      </c>
      <c r="M114" t="s">
        <v>28</v>
      </c>
      <c r="N114" t="s">
        <v>35</v>
      </c>
      <c r="O114" t="s">
        <v>42</v>
      </c>
      <c r="P114" t="s">
        <v>484</v>
      </c>
      <c r="Q114" t="s">
        <v>28</v>
      </c>
      <c r="R114" t="s">
        <v>28</v>
      </c>
      <c r="S114" t="s">
        <v>28</v>
      </c>
    </row>
    <row r="115" spans="1:19" x14ac:dyDescent="0.25">
      <c r="A115" t="s">
        <v>429</v>
      </c>
      <c r="B115" t="s">
        <v>430</v>
      </c>
      <c r="C115" t="str">
        <f>_xlfn.XLOOKUP(D115,Buckets!A:A,Buckets!B:B)</f>
        <v>SMED</v>
      </c>
      <c r="D115" t="s">
        <v>470</v>
      </c>
      <c r="E115" t="s">
        <v>28</v>
      </c>
      <c r="F115" t="s">
        <v>123</v>
      </c>
      <c r="G115" t="s">
        <v>30</v>
      </c>
      <c r="H115" t="s">
        <v>488</v>
      </c>
      <c r="I115" t="s">
        <v>488</v>
      </c>
      <c r="J115" t="s">
        <v>33</v>
      </c>
      <c r="K115" t="s">
        <v>216</v>
      </c>
      <c r="L115" t="s">
        <v>298</v>
      </c>
      <c r="M115" t="s">
        <v>28</v>
      </c>
      <c r="N115" t="s">
        <v>128</v>
      </c>
      <c r="O115" t="s">
        <v>28</v>
      </c>
      <c r="P115" t="s">
        <v>28</v>
      </c>
      <c r="Q115" t="s">
        <v>146</v>
      </c>
      <c r="R115" t="s">
        <v>431</v>
      </c>
      <c r="S115" t="s">
        <v>28</v>
      </c>
    </row>
    <row r="116" spans="1:19" x14ac:dyDescent="0.25">
      <c r="A116" t="s">
        <v>432</v>
      </c>
      <c r="B116" t="s">
        <v>433</v>
      </c>
      <c r="C116" t="str">
        <f>_xlfn.XLOOKUP(D116,Buckets!A:A,Buckets!B:B)</f>
        <v>MTM/Impressão 3D</v>
      </c>
      <c r="D116" t="s">
        <v>479</v>
      </c>
      <c r="E116" t="s">
        <v>28</v>
      </c>
      <c r="F116" t="s">
        <v>39</v>
      </c>
      <c r="G116" t="s">
        <v>30</v>
      </c>
      <c r="H116" t="s">
        <v>480</v>
      </c>
      <c r="I116" t="s">
        <v>480</v>
      </c>
      <c r="J116" t="s">
        <v>33</v>
      </c>
      <c r="K116" t="s">
        <v>303</v>
      </c>
      <c r="L116" t="s">
        <v>285</v>
      </c>
      <c r="M116" t="s">
        <v>28</v>
      </c>
      <c r="N116" t="s">
        <v>35</v>
      </c>
      <c r="O116" t="s">
        <v>298</v>
      </c>
      <c r="P116" t="s">
        <v>480</v>
      </c>
      <c r="Q116" t="s">
        <v>28</v>
      </c>
      <c r="R116" t="s">
        <v>28</v>
      </c>
      <c r="S116" t="s">
        <v>28</v>
      </c>
    </row>
    <row r="117" spans="1:19" x14ac:dyDescent="0.25">
      <c r="A117" t="s">
        <v>434</v>
      </c>
      <c r="B117" t="s">
        <v>435</v>
      </c>
      <c r="C117" t="str">
        <f>_xlfn.XLOOKUP(D117,Buckets!A:A,Buckets!B:B)</f>
        <v>MTM/Impressão 3D</v>
      </c>
      <c r="D117" t="s">
        <v>479</v>
      </c>
      <c r="E117" t="s">
        <v>28</v>
      </c>
      <c r="F117" t="s">
        <v>39</v>
      </c>
      <c r="G117" t="s">
        <v>30</v>
      </c>
      <c r="H117" t="s">
        <v>480</v>
      </c>
      <c r="I117" t="s">
        <v>480</v>
      </c>
      <c r="J117" t="s">
        <v>33</v>
      </c>
      <c r="K117" t="s">
        <v>216</v>
      </c>
      <c r="L117" t="s">
        <v>298</v>
      </c>
      <c r="M117" t="s">
        <v>28</v>
      </c>
      <c r="N117" t="s">
        <v>35</v>
      </c>
      <c r="O117" t="s">
        <v>216</v>
      </c>
      <c r="P117" t="s">
        <v>459</v>
      </c>
      <c r="Q117" t="s">
        <v>28</v>
      </c>
      <c r="R117" t="s">
        <v>28</v>
      </c>
      <c r="S117" t="s">
        <v>28</v>
      </c>
    </row>
    <row r="118" spans="1:19" x14ac:dyDescent="0.25">
      <c r="A118" t="s">
        <v>436</v>
      </c>
      <c r="B118" t="s">
        <v>437</v>
      </c>
      <c r="C118" t="str">
        <f>_xlfn.XLOOKUP(D118,Buckets!A:A,Buckets!B:B)</f>
        <v>MTM/Impressão 3D</v>
      </c>
      <c r="D118" t="s">
        <v>479</v>
      </c>
      <c r="E118" t="s">
        <v>28</v>
      </c>
      <c r="F118" t="s">
        <v>39</v>
      </c>
      <c r="G118" t="s">
        <v>30</v>
      </c>
      <c r="H118" t="s">
        <v>480</v>
      </c>
      <c r="I118" t="s">
        <v>480</v>
      </c>
      <c r="J118" t="s">
        <v>298</v>
      </c>
      <c r="K118" t="s">
        <v>216</v>
      </c>
      <c r="L118" t="s">
        <v>298</v>
      </c>
      <c r="M118" t="s">
        <v>28</v>
      </c>
      <c r="N118" t="s">
        <v>35</v>
      </c>
      <c r="O118" t="s">
        <v>216</v>
      </c>
      <c r="P118" t="s">
        <v>459</v>
      </c>
      <c r="Q118" t="s">
        <v>28</v>
      </c>
      <c r="R118" t="s">
        <v>28</v>
      </c>
      <c r="S118" t="s">
        <v>28</v>
      </c>
    </row>
    <row r="119" spans="1:19" x14ac:dyDescent="0.25">
      <c r="A119" t="s">
        <v>438</v>
      </c>
      <c r="B119" t="s">
        <v>439</v>
      </c>
      <c r="C119" t="str">
        <f>_xlfn.XLOOKUP(D119,Buckets!A:A,Buckets!B:B)</f>
        <v>SMED</v>
      </c>
      <c r="D119" t="s">
        <v>470</v>
      </c>
      <c r="E119" t="s">
        <v>28</v>
      </c>
      <c r="F119" t="s">
        <v>29</v>
      </c>
      <c r="G119" t="s">
        <v>260</v>
      </c>
      <c r="H119" t="s">
        <v>488</v>
      </c>
      <c r="I119" t="s">
        <v>488</v>
      </c>
      <c r="J119" t="s">
        <v>216</v>
      </c>
      <c r="K119" t="s">
        <v>336</v>
      </c>
      <c r="L119" t="s">
        <v>440</v>
      </c>
      <c r="M119" t="s">
        <v>28</v>
      </c>
      <c r="N119" t="s">
        <v>35</v>
      </c>
      <c r="O119" t="s">
        <v>28</v>
      </c>
      <c r="P119" t="s">
        <v>28</v>
      </c>
      <c r="Q119" t="s">
        <v>208</v>
      </c>
      <c r="R119" t="s">
        <v>441</v>
      </c>
      <c r="S119" t="s">
        <v>28</v>
      </c>
    </row>
    <row r="120" spans="1:19" x14ac:dyDescent="0.25">
      <c r="A120" t="s">
        <v>442</v>
      </c>
      <c r="B120" t="s">
        <v>443</v>
      </c>
      <c r="C120" t="str">
        <f>_xlfn.XLOOKUP(D120,Buckets!A:A,Buckets!B:B)</f>
        <v>SMED</v>
      </c>
      <c r="D120" t="s">
        <v>470</v>
      </c>
      <c r="E120" t="s">
        <v>28</v>
      </c>
      <c r="F120" t="s">
        <v>29</v>
      </c>
      <c r="G120" t="s">
        <v>30</v>
      </c>
      <c r="H120" t="s">
        <v>488</v>
      </c>
      <c r="I120" t="s">
        <v>488</v>
      </c>
      <c r="J120" t="s">
        <v>216</v>
      </c>
      <c r="K120" t="s">
        <v>336</v>
      </c>
      <c r="L120" t="s">
        <v>440</v>
      </c>
      <c r="M120" t="s">
        <v>28</v>
      </c>
      <c r="N120" t="s">
        <v>35</v>
      </c>
      <c r="O120" t="s">
        <v>28</v>
      </c>
      <c r="P120" t="s">
        <v>28</v>
      </c>
      <c r="Q120" t="s">
        <v>444</v>
      </c>
      <c r="R120" t="s">
        <v>445</v>
      </c>
      <c r="S120" t="s">
        <v>28</v>
      </c>
    </row>
    <row r="121" spans="1:19" x14ac:dyDescent="0.25">
      <c r="A121" t="s">
        <v>446</v>
      </c>
      <c r="B121" t="s">
        <v>447</v>
      </c>
      <c r="C121" t="str">
        <f>_xlfn.XLOOKUP(D121,Buckets!A:A,Buckets!B:B)</f>
        <v>MTM/Impressão 3D</v>
      </c>
      <c r="D121" t="s">
        <v>479</v>
      </c>
      <c r="E121" t="s">
        <v>28</v>
      </c>
      <c r="F121" t="s">
        <v>29</v>
      </c>
      <c r="G121" t="s">
        <v>30</v>
      </c>
      <c r="H121" t="s">
        <v>480</v>
      </c>
      <c r="I121" t="s">
        <v>480</v>
      </c>
      <c r="J121" t="s">
        <v>216</v>
      </c>
      <c r="K121" t="s">
        <v>336</v>
      </c>
      <c r="L121" t="s">
        <v>440</v>
      </c>
      <c r="M121" t="s">
        <v>28</v>
      </c>
      <c r="N121" t="s">
        <v>35</v>
      </c>
      <c r="O121" t="s">
        <v>28</v>
      </c>
      <c r="P121" t="s">
        <v>28</v>
      </c>
      <c r="Q121" t="s">
        <v>444</v>
      </c>
      <c r="R121" t="s">
        <v>448</v>
      </c>
      <c r="S121" t="s">
        <v>28</v>
      </c>
    </row>
    <row r="122" spans="1:19" x14ac:dyDescent="0.25">
      <c r="A122" t="s">
        <v>449</v>
      </c>
      <c r="B122" t="s">
        <v>450</v>
      </c>
      <c r="C122" t="str">
        <f>_xlfn.XLOOKUP(D122,Buckets!A:A,Buckets!B:B)</f>
        <v>MTM/Impressão 3D</v>
      </c>
      <c r="D122" t="s">
        <v>479</v>
      </c>
      <c r="E122" t="s">
        <v>28</v>
      </c>
      <c r="F122" t="s">
        <v>29</v>
      </c>
      <c r="G122" t="s">
        <v>30</v>
      </c>
      <c r="H122" t="s">
        <v>480</v>
      </c>
      <c r="I122" t="s">
        <v>480</v>
      </c>
      <c r="J122" t="s">
        <v>216</v>
      </c>
      <c r="K122" t="s">
        <v>336</v>
      </c>
      <c r="L122" t="s">
        <v>440</v>
      </c>
      <c r="M122" t="s">
        <v>28</v>
      </c>
      <c r="N122" t="s">
        <v>35</v>
      </c>
      <c r="O122" t="s">
        <v>28</v>
      </c>
      <c r="P122" t="s">
        <v>28</v>
      </c>
      <c r="Q122" t="s">
        <v>444</v>
      </c>
      <c r="R122" t="s">
        <v>451</v>
      </c>
      <c r="S122" t="s">
        <v>28</v>
      </c>
    </row>
    <row r="123" spans="1:19" x14ac:dyDescent="0.25">
      <c r="A123" t="s">
        <v>452</v>
      </c>
      <c r="B123" t="s">
        <v>453</v>
      </c>
      <c r="C123" t="str">
        <f>_xlfn.XLOOKUP(D123,Buckets!A:A,Buckets!B:B)</f>
        <v>RPA</v>
      </c>
      <c r="D123" t="s">
        <v>481</v>
      </c>
      <c r="E123" t="s">
        <v>28</v>
      </c>
      <c r="F123" t="s">
        <v>29</v>
      </c>
      <c r="G123" t="s">
        <v>30</v>
      </c>
      <c r="H123" t="s">
        <v>478</v>
      </c>
      <c r="I123" t="s">
        <v>478</v>
      </c>
      <c r="J123" t="s">
        <v>216</v>
      </c>
      <c r="K123" t="s">
        <v>336</v>
      </c>
      <c r="L123" t="s">
        <v>28</v>
      </c>
      <c r="M123" t="s">
        <v>28</v>
      </c>
      <c r="N123" t="s">
        <v>35</v>
      </c>
      <c r="O123" t="s">
        <v>28</v>
      </c>
      <c r="P123" t="s">
        <v>28</v>
      </c>
      <c r="Q123" t="s">
        <v>28</v>
      </c>
      <c r="R123" t="s">
        <v>28</v>
      </c>
      <c r="S123" t="s">
        <v>28</v>
      </c>
    </row>
    <row r="124" spans="1:19" x14ac:dyDescent="0.25">
      <c r="A124" t="s">
        <v>454</v>
      </c>
      <c r="B124" t="s">
        <v>455</v>
      </c>
      <c r="C124" t="str">
        <f>_xlfn.XLOOKUP(D124,Buckets!A:A,Buckets!B:B)</f>
        <v>RPA</v>
      </c>
      <c r="D124" t="s">
        <v>481</v>
      </c>
      <c r="E124" t="s">
        <v>28</v>
      </c>
      <c r="F124" t="s">
        <v>29</v>
      </c>
      <c r="G124" t="s">
        <v>30</v>
      </c>
      <c r="H124" t="s">
        <v>28</v>
      </c>
      <c r="I124" t="s">
        <v>478</v>
      </c>
      <c r="J124" t="s">
        <v>216</v>
      </c>
      <c r="K124" t="s">
        <v>28</v>
      </c>
      <c r="L124" t="s">
        <v>28</v>
      </c>
      <c r="M124" t="s">
        <v>28</v>
      </c>
      <c r="N124" t="s">
        <v>35</v>
      </c>
      <c r="O124" t="s">
        <v>28</v>
      </c>
      <c r="P124" t="s">
        <v>28</v>
      </c>
      <c r="Q124" t="s">
        <v>28</v>
      </c>
      <c r="R124" t="s">
        <v>28</v>
      </c>
      <c r="S124" t="s">
        <v>28</v>
      </c>
    </row>
  </sheetData>
  <autoFilter ref="A1:T124" xr:uid="{00000000-0001-0000-0200-000000000000}"/>
  <pageMargins left="0.511811024" right="0.511811024" top="0.78740157499999996" bottom="0.78740157499999996" header="0.31496062000000002" footer="0.31496062000000002"/>
  <headerFooter>
    <oddFooter>&amp;L_x000D_&amp;1#&amp;"Aptos"&amp;10&amp;K000000 Classificação Privada</oddFooter>
  </headerFooter>
  <ignoredErrors>
    <ignoredError sqref="D1:T124 A1:B124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"/>
  <sheetViews>
    <sheetView workbookViewId="0"/>
  </sheetViews>
  <sheetFormatPr defaultRowHeight="15.75" x14ac:dyDescent="0.25"/>
  <cols>
    <col min="1" max="1" width="32.875" customWidth="1"/>
    <col min="2" max="2" width="24.875" customWidth="1"/>
    <col min="3" max="3" width="14.875" customWidth="1"/>
    <col min="4" max="4" width="10.875" customWidth="1"/>
    <col min="5" max="6" width="11.875" customWidth="1"/>
    <col min="7" max="8" width="32.875" customWidth="1"/>
  </cols>
  <sheetData>
    <row r="1" spans="1:8" x14ac:dyDescent="0.25">
      <c r="A1" t="s">
        <v>494</v>
      </c>
      <c r="B1" t="s">
        <v>495</v>
      </c>
      <c r="C1" t="s">
        <v>10</v>
      </c>
      <c r="D1" t="s">
        <v>11</v>
      </c>
      <c r="E1" t="s">
        <v>16</v>
      </c>
      <c r="F1" t="s">
        <v>496</v>
      </c>
      <c r="G1" t="s">
        <v>497</v>
      </c>
      <c r="H1" t="s">
        <v>24</v>
      </c>
    </row>
    <row r="2" spans="1:8" x14ac:dyDescent="0.25">
      <c r="A2" t="s">
        <v>476</v>
      </c>
      <c r="B2" t="s">
        <v>171</v>
      </c>
      <c r="C2" t="s">
        <v>498</v>
      </c>
      <c r="D2" t="s">
        <v>499</v>
      </c>
      <c r="E2" t="s">
        <v>28</v>
      </c>
      <c r="F2" t="s">
        <v>28</v>
      </c>
      <c r="G2" t="s">
        <v>170</v>
      </c>
      <c r="H2" t="s">
        <v>28</v>
      </c>
    </row>
    <row r="3" spans="1:8" x14ac:dyDescent="0.25">
      <c r="A3" t="s">
        <v>471</v>
      </c>
      <c r="B3" t="s">
        <v>135</v>
      </c>
      <c r="C3" t="s">
        <v>498</v>
      </c>
      <c r="D3" t="s">
        <v>499</v>
      </c>
      <c r="E3" t="s">
        <v>28</v>
      </c>
      <c r="F3" t="s">
        <v>28</v>
      </c>
      <c r="G3" t="s">
        <v>500</v>
      </c>
      <c r="H3" t="s">
        <v>28</v>
      </c>
    </row>
    <row r="4" spans="1:8" x14ac:dyDescent="0.25">
      <c r="A4" t="s">
        <v>468</v>
      </c>
      <c r="B4" t="s">
        <v>122</v>
      </c>
      <c r="C4" t="s">
        <v>498</v>
      </c>
      <c r="D4" t="s">
        <v>499</v>
      </c>
      <c r="E4" t="s">
        <v>28</v>
      </c>
      <c r="F4" t="s">
        <v>501</v>
      </c>
      <c r="G4" t="s">
        <v>502</v>
      </c>
      <c r="H4" t="s">
        <v>28</v>
      </c>
    </row>
  </sheetData>
  <pageMargins left="0.511811024" right="0.511811024" top="0.78740157499999996" bottom="0.78740157499999996" header="0.31496062000000002" footer="0.31496062000000002"/>
  <headerFooter>
    <oddFooter>&amp;L_x000D_&amp;1#&amp;"Aptos"&amp;10&amp;K000000 Classificação Privada</oddFooter>
  </headerFooter>
  <ignoredErrors>
    <ignoredError sqref="A1:H4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"/>
  <sheetViews>
    <sheetView workbookViewId="0">
      <selection activeCell="B13" sqref="B13"/>
    </sheetView>
  </sheetViews>
  <sheetFormatPr defaultRowHeight="15.75" x14ac:dyDescent="0.25"/>
  <cols>
    <col min="1" max="1" width="32.875" customWidth="1"/>
    <col min="2" max="2" width="33.625" bestFit="1" customWidth="1"/>
  </cols>
  <sheetData>
    <row r="1" spans="1:4" x14ac:dyDescent="0.25">
      <c r="A1" t="s">
        <v>503</v>
      </c>
      <c r="B1" t="s">
        <v>504</v>
      </c>
    </row>
    <row r="2" spans="1:4" x14ac:dyDescent="0.25">
      <c r="A2" t="s">
        <v>467</v>
      </c>
      <c r="B2" t="s">
        <v>121</v>
      </c>
    </row>
    <row r="3" spans="1:4" x14ac:dyDescent="0.25">
      <c r="A3" t="s">
        <v>470</v>
      </c>
      <c r="B3" t="s">
        <v>134</v>
      </c>
    </row>
    <row r="4" spans="1:4" x14ac:dyDescent="0.25">
      <c r="A4" t="s">
        <v>481</v>
      </c>
      <c r="B4" t="s">
        <v>199</v>
      </c>
    </row>
    <row r="5" spans="1:4" x14ac:dyDescent="0.25">
      <c r="A5" t="s">
        <v>479</v>
      </c>
      <c r="B5" t="s">
        <v>192</v>
      </c>
    </row>
    <row r="6" spans="1:4" x14ac:dyDescent="0.25">
      <c r="A6" t="s">
        <v>477</v>
      </c>
      <c r="B6" t="s">
        <v>177</v>
      </c>
    </row>
    <row r="7" spans="1:4" x14ac:dyDescent="0.25">
      <c r="A7" t="s">
        <v>473</v>
      </c>
      <c r="B7" t="s">
        <v>143</v>
      </c>
    </row>
    <row r="8" spans="1:4" x14ac:dyDescent="0.25">
      <c r="A8" t="s">
        <v>486</v>
      </c>
      <c r="B8" t="s">
        <v>292</v>
      </c>
    </row>
    <row r="9" spans="1:4" x14ac:dyDescent="0.25">
      <c r="A9" t="s">
        <v>456</v>
      </c>
      <c r="B9" t="s">
        <v>27</v>
      </c>
      <c r="C9" t="s">
        <v>143</v>
      </c>
      <c r="D9" t="s">
        <v>529</v>
      </c>
    </row>
    <row r="10" spans="1:4" x14ac:dyDescent="0.25">
      <c r="A10" t="s">
        <v>489</v>
      </c>
      <c r="B10" t="s">
        <v>318</v>
      </c>
    </row>
  </sheetData>
  <pageMargins left="0.511811024" right="0.511811024" top="0.78740157499999996" bottom="0.78740157499999996" header="0.31496062000000002" footer="0.31496062000000002"/>
  <headerFooter>
    <oddFooter>&amp;L_x000D_&amp;1#&amp;"Aptos"&amp;10&amp;K000000 Classificação Privada</oddFooter>
  </headerFooter>
  <ignoredErrors>
    <ignoredError sqref="A1:B10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3"/>
  <sheetViews>
    <sheetView workbookViewId="0"/>
  </sheetViews>
  <sheetFormatPr defaultRowHeight="15.75" x14ac:dyDescent="0.25"/>
  <cols>
    <col min="1" max="1" width="32.875" customWidth="1"/>
    <col min="2" max="2" width="24.875" customWidth="1"/>
    <col min="3" max="3" width="32.875" customWidth="1"/>
  </cols>
  <sheetData>
    <row r="1" spans="1:3" x14ac:dyDescent="0.25">
      <c r="A1" t="s">
        <v>505</v>
      </c>
      <c r="B1" t="s">
        <v>506</v>
      </c>
      <c r="C1" t="s">
        <v>507</v>
      </c>
    </row>
    <row r="2" spans="1:3" x14ac:dyDescent="0.25">
      <c r="A2" t="s">
        <v>458</v>
      </c>
      <c r="B2" t="s">
        <v>32</v>
      </c>
      <c r="C2" t="s">
        <v>508</v>
      </c>
    </row>
    <row r="3" spans="1:3" x14ac:dyDescent="0.25">
      <c r="A3" t="s">
        <v>484</v>
      </c>
      <c r="B3" t="s">
        <v>235</v>
      </c>
      <c r="C3" t="s">
        <v>509</v>
      </c>
    </row>
    <row r="4" spans="1:3" x14ac:dyDescent="0.25">
      <c r="A4" t="s">
        <v>487</v>
      </c>
      <c r="B4" t="s">
        <v>293</v>
      </c>
      <c r="C4" t="s">
        <v>510</v>
      </c>
    </row>
    <row r="5" spans="1:3" x14ac:dyDescent="0.25">
      <c r="A5" t="s">
        <v>469</v>
      </c>
      <c r="B5" t="s">
        <v>125</v>
      </c>
      <c r="C5" t="s">
        <v>511</v>
      </c>
    </row>
    <row r="6" spans="1:3" x14ac:dyDescent="0.25">
      <c r="A6" t="s">
        <v>459</v>
      </c>
      <c r="B6" t="s">
        <v>40</v>
      </c>
      <c r="C6" t="s">
        <v>512</v>
      </c>
    </row>
    <row r="7" spans="1:3" x14ac:dyDescent="0.25">
      <c r="A7" t="s">
        <v>492</v>
      </c>
      <c r="B7" t="s">
        <v>401</v>
      </c>
      <c r="C7" t="s">
        <v>513</v>
      </c>
    </row>
    <row r="8" spans="1:3" x14ac:dyDescent="0.25">
      <c r="A8" t="s">
        <v>474</v>
      </c>
      <c r="B8" t="s">
        <v>144</v>
      </c>
      <c r="C8" t="s">
        <v>514</v>
      </c>
    </row>
    <row r="9" spans="1:3" x14ac:dyDescent="0.25">
      <c r="A9" t="s">
        <v>478</v>
      </c>
      <c r="B9" t="s">
        <v>186</v>
      </c>
      <c r="C9" t="s">
        <v>515</v>
      </c>
    </row>
    <row r="10" spans="1:3" x14ac:dyDescent="0.25">
      <c r="A10" t="s">
        <v>480</v>
      </c>
      <c r="B10" t="s">
        <v>193</v>
      </c>
      <c r="C10" t="s">
        <v>516</v>
      </c>
    </row>
    <row r="11" spans="1:3" x14ac:dyDescent="0.25">
      <c r="A11" t="s">
        <v>482</v>
      </c>
      <c r="B11" t="s">
        <v>201</v>
      </c>
      <c r="C11" t="s">
        <v>517</v>
      </c>
    </row>
    <row r="12" spans="1:3" x14ac:dyDescent="0.25">
      <c r="A12" t="s">
        <v>488</v>
      </c>
      <c r="B12" t="s">
        <v>302</v>
      </c>
      <c r="C12" t="s">
        <v>518</v>
      </c>
    </row>
    <row r="13" spans="1:3" x14ac:dyDescent="0.25">
      <c r="A13" t="s">
        <v>491</v>
      </c>
      <c r="B13" t="s">
        <v>385</v>
      </c>
      <c r="C13" t="s">
        <v>519</v>
      </c>
    </row>
  </sheetData>
  <pageMargins left="0.511811024" right="0.511811024" top="0.78740157499999996" bottom="0.78740157499999996" header="0.31496062000000002" footer="0.31496062000000002"/>
  <headerFooter>
    <oddFooter>&amp;L_x000D_&amp;1#&amp;"Aptos"&amp;10&amp;K000000 Classificação Privada</oddFooter>
  </headerFooter>
  <ignoredErrors>
    <ignoredError sqref="A1:C13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7333B-FBAE-4293-99E7-922920355D68}">
  <dimension ref="A1:B10"/>
  <sheetViews>
    <sheetView workbookViewId="0">
      <selection activeCell="H24" sqref="H24"/>
    </sheetView>
  </sheetViews>
  <sheetFormatPr defaultRowHeight="15" x14ac:dyDescent="0.25"/>
  <cols>
    <col min="1" max="1" width="32.375" style="2" bestFit="1" customWidth="1"/>
    <col min="2" max="16384" width="9" style="2"/>
  </cols>
  <sheetData>
    <row r="1" spans="1:2" x14ac:dyDescent="0.25">
      <c r="A1" s="2" t="s">
        <v>528</v>
      </c>
      <c r="B1" s="2" t="s">
        <v>527</v>
      </c>
    </row>
    <row r="2" spans="1:2" x14ac:dyDescent="0.25">
      <c r="A2" s="2" t="s">
        <v>27</v>
      </c>
      <c r="B2" s="2" t="s">
        <v>526</v>
      </c>
    </row>
    <row r="3" spans="1:2" x14ac:dyDescent="0.25">
      <c r="A3" s="2" t="s">
        <v>121</v>
      </c>
      <c r="B3" s="2" t="s">
        <v>525</v>
      </c>
    </row>
    <row r="4" spans="1:2" x14ac:dyDescent="0.25">
      <c r="A4" s="2" t="s">
        <v>134</v>
      </c>
      <c r="B4" s="2" t="s">
        <v>134</v>
      </c>
    </row>
    <row r="5" spans="1:2" x14ac:dyDescent="0.25">
      <c r="A5" s="2" t="s">
        <v>143</v>
      </c>
      <c r="B5" s="2" t="s">
        <v>524</v>
      </c>
    </row>
    <row r="6" spans="1:2" x14ac:dyDescent="0.25">
      <c r="A6" s="2" t="s">
        <v>177</v>
      </c>
      <c r="B6" s="2" t="s">
        <v>523</v>
      </c>
    </row>
    <row r="7" spans="1:2" x14ac:dyDescent="0.25">
      <c r="A7" s="2" t="s">
        <v>192</v>
      </c>
      <c r="B7" s="2" t="s">
        <v>522</v>
      </c>
    </row>
    <row r="8" spans="1:2" x14ac:dyDescent="0.25">
      <c r="A8" s="2" t="s">
        <v>199</v>
      </c>
      <c r="B8" s="2" t="s">
        <v>199</v>
      </c>
    </row>
    <row r="9" spans="1:2" x14ac:dyDescent="0.25">
      <c r="A9" s="2" t="s">
        <v>292</v>
      </c>
      <c r="B9" s="2" t="s">
        <v>521</v>
      </c>
    </row>
    <row r="10" spans="1:2" x14ac:dyDescent="0.25">
      <c r="A10" s="2" t="s">
        <v>318</v>
      </c>
      <c r="B10" s="2" t="s">
        <v>520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Plano</vt:lpstr>
      <vt:lpstr>Dados Consolidados</vt:lpstr>
      <vt:lpstr>Tarefas</vt:lpstr>
      <vt:lpstr>Metas</vt:lpstr>
      <vt:lpstr>Buckets</vt:lpstr>
      <vt:lpstr>Usuários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Manoel Ribeiro do Nascimento</dc:creator>
  <cp:lastModifiedBy>Manoel Ribeiro do Nascimento</cp:lastModifiedBy>
  <cp:lastPrinted>2026-08-15T18:31:28Z</cp:lastPrinted>
  <dcterms:created xsi:type="dcterms:W3CDTF">2026-08-17T11:25:36Z</dcterms:created>
  <dcterms:modified xsi:type="dcterms:W3CDTF">2026-08-20T19:36:26Z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7a366f-f489-4410-a47a-bbff90ac6d69_Enabled">
    <vt:lpwstr>true</vt:lpwstr>
  </property>
  <property fmtid="{D5CDD505-2E9C-101B-9397-08002B2CF9AE}" pid="3" name="MSIP_Label_237a366f-f489-4410-a47a-bbff90ac6d69_SetDate">
    <vt:lpwstr>2026-08-15T18:34:13Z</vt:lpwstr>
  </property>
  <property fmtid="{D5CDD505-2E9C-101B-9397-08002B2CF9AE}" pid="4" name="MSIP_Label_237a366f-f489-4410-a47a-bbff90ac6d69_Method">
    <vt:lpwstr>Standard</vt:lpwstr>
  </property>
  <property fmtid="{D5CDD505-2E9C-101B-9397-08002B2CF9AE}" pid="5" name="MSIP_Label_237a366f-f489-4410-a47a-bbff90ac6d69_Name">
    <vt:lpwstr>Privado</vt:lpwstr>
  </property>
  <property fmtid="{D5CDD505-2E9C-101B-9397-08002B2CF9AE}" pid="6" name="MSIP_Label_237a366f-f489-4410-a47a-bbff90ac6d69_SiteId">
    <vt:lpwstr>b7ed67af-ba40-4040-a386-ab53a0ad3e96</vt:lpwstr>
  </property>
  <property fmtid="{D5CDD505-2E9C-101B-9397-08002B2CF9AE}" pid="7" name="MSIP_Label_237a366f-f489-4410-a47a-bbff90ac6d69_ActionId">
    <vt:lpwstr>eae12898-b816-4b74-84c0-e901f229d05c</vt:lpwstr>
  </property>
  <property fmtid="{D5CDD505-2E9C-101B-9397-08002B2CF9AE}" pid="8" name="MSIP_Label_237a366f-f489-4410-a47a-bbff90ac6d69_ContentBits">
    <vt:lpwstr>2</vt:lpwstr>
  </property>
  <property fmtid="{D5CDD505-2E9C-101B-9397-08002B2CF9AE}" pid="9" name="MSIP_Label_237a366f-f489-4410-a47a-bbff90ac6d69_Tag">
    <vt:lpwstr>10, 3, 0, 1</vt:lpwstr>
  </property>
</Properties>
</file>